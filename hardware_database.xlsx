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dfbec2f21443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179c94a123f4525"/>
    <x:sheet xmlns:r="http://schemas.openxmlformats.org/officeDocument/2006/relationships" name="CPU" sheetId="2" r:id="Re33dba4cdc034438"/>
    <x:sheet xmlns:r="http://schemas.openxmlformats.org/officeDocument/2006/relationships" name="GPU" sheetId="3" r:id="R6178804635494d78"/>
    <x:sheet xmlns:r="http://schemas.openxmlformats.org/officeDocument/2006/relationships" name="Mobile SoC" sheetId="4" r:id="R01b1bbb29a134584"/>
    <x:sheet xmlns:r="http://schemas.openxmlformats.org/officeDocument/2006/relationships" name="SoM" sheetId="5" r:id="R6f5514a19c4648b8"/>
    <x:sheet xmlns:r="http://schemas.openxmlformats.org/officeDocument/2006/relationships" name="Accelerator" sheetId="6" r:id="Rc247c8b114c64536"/>
    <x:sheet xmlns:r="http://schemas.openxmlformats.org/officeDocument/2006/relationships" name="Platform" sheetId="7" r:id="Rfea4bf48c7d742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$&quot;#,##0"/>
    <x:numFmt numFmtId="201" formatCode="#,##0.0"/>
    <x:numFmt numFmtId="202" formatCode="#,##0"/>
    <x:numFmt numFmtId="203" formatCode="yyyy-mm-dd"/>
  </x:numFmts>
  <x:fonts count="9">
    <x:font>
      <x:sz val="11"/>
      <x:name val="Carlito"/>
    </x:font>
    <x:font>
      <x:b/>
      <x:sz val="14"/>
      <x:color rgb="FF17365D"/>
      <x:name val="Arial"/>
    </x:font>
    <x:font>
      <x:i/>
      <x:sz val="10"/>
      <x:color rgb="FF4B5563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9"/>
      <x:color rgb="FF0563C1"/>
      <x:name val="Arial"/>
    </x:font>
    <x:font>
      <x:b/>
      <x:sz val="16"/>
      <x:color rgb="FF17365D"/>
      <x:name val="Arial"/>
    </x:font>
    <x:font>
      <x:b/>
      <x:sz val="11"/>
      <x:color rgb="FF1F2937"/>
      <x:name val="Arial"/>
    </x:font>
    <x:font>
      <x:b/>
      <x:sz val="10"/>
      <x:color rgb="FF1736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6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9E1F2"/>
      </x:bottom>
      <x:diagonal/>
    </x:border>
    <x:border>
      <x:left/>
      <x:right/>
      <x:top style="thin">
        <x:color rgb="FFD9E1F2"/>
      </x:top>
      <x:bottom style="thin">
        <x:color rgb="FFD9E1F2"/>
      </x:bottom>
      <x:diagonal/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wrapText="0"/>
    </x:xf>
    <x:xf numFmtId="200" fontId="3" fillId="3" borderId="4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3" borderId="5" xfId="0" applyNumberFormat="1" applyFont="1" applyFill="1" applyBorder="1" applyAlignment="1">
      <x:alignment vertical="center"/>
    </x:xf>
    <x:xf numFmtId="201" fontId="3" fillId="3" borderId="4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201" fontId="3" fillId="3" borderId="5" xfId="0" applyNumberFormat="1" applyFont="1" applyFill="1" applyBorder="1" applyAlignment="1">
      <x:alignment vertical="center"/>
    </x:xf>
    <x:xf numFmtId="202" fontId="3" fillId="3" borderId="4" xfId="0" applyNumberFormat="1" applyFont="1" applyFill="1" applyBorder="1" applyAlignment="1">
      <x:alignment vertical="center"/>
    </x:xf>
    <x:xf numFmtId="202" fontId="3" fillId="0" borderId="5" xfId="0" applyNumberFormat="1" applyFont="1" applyFill="1" applyBorder="1" applyAlignment="1">
      <x:alignment vertical="center"/>
    </x:xf>
    <x:xf numFmtId="202" fontId="3" fillId="3" borderId="5" xfId="0" applyNumberFormat="1" applyFont="1" applyFill="1" applyBorder="1" applyAlignment="1">
      <x:alignment vertical="center"/>
    </x:xf>
    <x:xf numFmtId="203" fontId="3" fillId="3" borderId="4" xfId="0" applyNumberFormat="1" applyFont="1" applyFill="1" applyBorder="1" applyAlignment="1">
      <x:alignment vertical="center"/>
    </x:xf>
    <x:xf numFmtId="203" fontId="3" fillId="0" borderId="5" xfId="0" applyNumberFormat="1" applyFont="1" applyFill="1" applyBorder="1" applyAlignment="1">
      <x:alignment vertical="center"/>
    </x:xf>
    <x:xf numFmtId="203" fontId="3" fillId="3" borderId="5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203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16e8df438a461e" /><Relationship Type="http://schemas.openxmlformats.org/officeDocument/2006/relationships/theme" Target="/xl/theme/theme1.xml" Id="Rd90f8010eb8e410f" /><Relationship Type="http://schemas.openxmlformats.org/officeDocument/2006/relationships/sharedStrings" Target="/xl/sharedStrings.xml" Id="Rbbb65b3b43eb4be3" /><Relationship Type="http://schemas.openxmlformats.org/officeDocument/2006/relationships/worksheet" Target="/xl/worksheets/sheet1.xml" Id="Rc179c94a123f4525" /><Relationship Type="http://schemas.openxmlformats.org/officeDocument/2006/relationships/worksheet" Target="/xl/worksheets/sheet2.xml" Id="Re33dba4cdc034438" /><Relationship Type="http://schemas.openxmlformats.org/officeDocument/2006/relationships/worksheet" Target="/xl/worksheets/sheet3.xml" Id="R6178804635494d78" /><Relationship Type="http://schemas.openxmlformats.org/officeDocument/2006/relationships/worksheet" Target="/xl/worksheets/sheet4.xml" Id="R01b1bbb29a134584" /><Relationship Type="http://schemas.openxmlformats.org/officeDocument/2006/relationships/worksheet" Target="/xl/worksheets/sheet5.xml" Id="R6f5514a19c4648b8" /><Relationship Type="http://schemas.openxmlformats.org/officeDocument/2006/relationships/worksheet" Target="/xl/worksheets/sheet6.xml" Id="Rc247c8b114c64536" /><Relationship Type="http://schemas.openxmlformats.org/officeDocument/2006/relationships/worksheet" Target="/xl/worksheets/sheet7.xml" Id="Rfea4bf48c7d742a7" /></Relationships>
</file>

<file path=xl/tables/table1.xml><?xml version="1.0" encoding="utf-8"?>
<x:table xmlns:x="http://schemas.openxmlformats.org/spreadsheetml/2006/main" id="1" name="CPUTable" displayName="CPUTable" ref="A6:R14" headerRowCount="1" totalsRowCount="0" totalsRowShown="0">
  <x:autoFilter ref="A6:R14"/>
  <x:tableColumns count="18">
    <x:tableColumn id="1" name="Vendor"/>
    <x:tableColumn id="2" name="Model"/>
    <x:tableColumn id="3" name="Architecture"/>
    <x:tableColumn id="4" name="Memory type"/>
    <x:tableColumn id="5" name="Channels / stacks"/>
    <x:tableColumn id="6" name="Max data rate (MT/s)"/>
    <x:tableColumn id="7" name="Max memory (GB)"/>
    <x:tableColumn id="8" name="Peak bandwidth (GB/s)"/>
    <x:tableColumn id="9" name="PCIe generation"/>
    <x:tableColumn id="10" name="PCIe lanes"/>
    <x:tableColumn id="11" name="Socket / form"/>
    <x:tableColumn id="12" name="TDP (W)"/>
    <x:tableColumn id="13" name="Price (USD)"/>
    <x:tableColumn id="14" name="Price basis"/>
    <x:tableColumn id="15" name="Availability"/>
    <x:tableColumn id="16" name="Price date"/>
    <x:tableColumn id="17" name="Source"/>
    <x:tableColumn id="1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PUTable" displayName="GPUTable" ref="A6:T16" headerRowCount="1" totalsRowCount="0" totalsRowShown="0">
  <x:autoFilter ref="A6:T16"/>
  <x:tableColumns count="20">
    <x:tableColumn id="1" name="Vendor"/>
    <x:tableColumn id="2" name="Model"/>
    <x:tableColumn id="3" name="Architecture"/>
    <x:tableColumn id="4" name="Form factor"/>
    <x:tableColumn id="5" name="Memory type"/>
    <x:tableColumn id="6" name="Memory (GB)"/>
    <x:tableColumn id="7" name="Peak bandwidth (GB/s)"/>
    <x:tableColumn id="8" name="Host interface"/>
    <x:tableColumn id="9" name="Host lanes"/>
    <x:tableColumn id="10" name="Peer interconnect"/>
    <x:tableColumn id="11" name="Peer bandwidth (GB/s)"/>
    <x:tableColumn id="12" name="TDP (W)"/>
    <x:tableColumn id="13" name="Price (USD)"/>
    <x:tableColumn id="14" name="Price basis"/>
    <x:tableColumn id="15" name="Availability"/>
    <x:tableColumn id="16" name="Price date"/>
    <x:tableColumn id="17" name="Nodes for 1 TiB"/>
    <x:tableColumn id="18" name="1 TiB device cost (USD)"/>
    <x:tableColumn id="19" name="Source"/>
    <x:tableColumn id="2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bileSoCTable" displayName="MobileSoCTable" ref="A6:Q16" headerRowCount="1" totalsRowCount="0" totalsRowShown="0">
  <x:autoFilter ref="A6:Q16"/>
  <x:tableColumns count="17">
    <x:tableColumn id="1" name="Vendor"/>
    <x:tableColumn id="2" name="SoC"/>
    <x:tableColumn id="3" name="CPU ISA / cores"/>
    <x:tableColumn id="4" name="Memory type"/>
    <x:tableColumn id="5" name="Bus width (bits)"/>
    <x:tableColumn id="6" name="Max data rate (MT/s)"/>
    <x:tableColumn id="7" name="Max memory (GB)"/>
    <x:tableColumn id="8" name="Peak bandwidth (GB/s)"/>
    <x:tableColumn id="9" name="PCIe / high-speed I/O"/>
    <x:tableColumn id="10" name="Integrated compute"/>
    <x:tableColumn id="11" name="Chip price (USD)"/>
    <x:tableColumn id="12" name="Price basis"/>
    <x:tableColumn id="13" name="Availability"/>
    <x:tableColumn id="14" name="SoM / board options"/>
    <x:tableColumn id="15" name="Price date"/>
    <x:tableColumn id="16" name="Source"/>
    <x:tableColumn id="17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MTable" displayName="SoMTable" ref="A6:R12" headerRowCount="1" totalsRowCount="0" totalsRowShown="0">
  <x:autoFilter ref="A6:R12"/>
  <x:tableColumns count="18">
    <x:tableColumn id="1" name="Vendor"/>
    <x:tableColumn id="2" name="Module"/>
    <x:tableColumn id="3" name="SoC"/>
    <x:tableColumn id="4" name="Form factor / pinout"/>
    <x:tableColumn id="5" name="Memory type"/>
    <x:tableColumn id="6" name="Max memory (GB)"/>
    <x:tableColumn id="7" name="Peak bandwidth (GB/s)"/>
    <x:tableColumn id="8" name="PCIe"/>
    <x:tableColumn id="9" name="Network"/>
    <x:tableColumn id="10" name="Power (W)"/>
    <x:tableColumn id="11" name="Price (USD)"/>
    <x:tableColumn id="12" name="Price basis"/>
    <x:tableColumn id="13" name="Availability"/>
    <x:tableColumn id="14" name="Price date"/>
    <x:tableColumn id="15" name="Nodes for 1 TiB"/>
    <x:tableColumn id="16" name="1 TiB module cost (USD)"/>
    <x:tableColumn id="17" name="Source"/>
    <x:tableColumn id="18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celeratorTable" displayName="AcceleratorTable" ref="A6:Q11" headerRowCount="1" totalsRowCount="0" totalsRowShown="0">
  <x:autoFilter ref="A6:Q11"/>
  <x:tableColumns count="17">
    <x:tableColumn id="1" name="Vendor"/>
    <x:tableColumn id="2" name="Model"/>
    <x:tableColumn id="3" name="Type"/>
    <x:tableColumn id="4" name="Memory type"/>
    <x:tableColumn id="5" name="Memory (GB)"/>
    <x:tableColumn id="6" name="Peak bandwidth (GB/s)"/>
    <x:tableColumn id="7" name="Host interface"/>
    <x:tableColumn id="8" name="Scale-out / peer links"/>
    <x:tableColumn id="9" name="TDP (W)"/>
    <x:tableColumn id="10" name="Price (USD)"/>
    <x:tableColumn id="11" name="Price basis"/>
    <x:tableColumn id="12" name="Availability"/>
    <x:tableColumn id="13" name="Price date"/>
    <x:tableColumn id="14" name="Nodes for 1 TiB"/>
    <x:tableColumn id="15" name="1 TiB device cost (USD)"/>
    <x:tableColumn id="16" name="Source"/>
    <x:tableColumn id="17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latformTable" displayName="PlatformTable" ref="A6:R13" headerRowCount="1" totalsRowCount="0" totalsRowShown="0">
  <x:autoFilter ref="A6:R13"/>
  <x:tableColumns count="18">
    <x:tableColumn id="1" name="Vendor"/>
    <x:tableColumn id="2" name="System"/>
    <x:tableColumn id="3" name="Platform type"/>
    <x:tableColumn id="4" name="Compute"/>
    <x:tableColumn id="5" name="Memory type"/>
    <x:tableColumn id="6" name="Total memory (GB)"/>
    <x:tableColumn id="7" name="Peak / aggregate bandwidth (GB/s)"/>
    <x:tableColumn id="8" name="Node interconnect"/>
    <x:tableColumn id="9" name="Host expansion"/>
    <x:tableColumn id="10" name="Power (W)"/>
    <x:tableColumn id="11" name="Price (USD)"/>
    <x:tableColumn id="12" name="Price basis"/>
    <x:tableColumn id="13" name="Availability"/>
    <x:tableColumn id="14" name="Price date"/>
    <x:tableColumn id="15" name="Systems for 1 TiB"/>
    <x:tableColumn id="16" name="1 TiB system cost (USD)"/>
    <x:tableColumn id="17" name="Source"/>
    <x:tableColumn id="1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70795ad9794e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e8223153d64c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32afe8f90141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f345721c2748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caad3d6e14544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8901d93dfe41a7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5" hidden="0" customWidth="1"/>
    <x:col min="2" max="2" width="12" hidden="0" customWidth="1"/>
    <x:col min="3" max="3" width="48" hidden="0" customWidth="1"/>
  </x:cols>
  <x:sheetData>
    <x:row r="2">
      <x:c r="A2" s="40" t="str">
        <x:v>Hardware database</x:v>
      </x:c>
    </x:row>
    <x:row r="3" ht="3" customHeight="1">
      <x:c r="A3" s="2"/>
      <x:c r="B3" s="2"/>
      <x:c r="C3" s="2"/>
      <x:c r="D3" s="2"/>
      <x:c r="E3" s="2"/>
      <x:c r="F3" s="2"/>
      <x:c r="G3" s="2"/>
      <x:c r="H3" s="2"/>
    </x:row>
    <x:row r="4">
      <x:c r="A4" s="41" t="str">
        <x:v>As of</x:v>
      </x:c>
      <x:c r="B4" s="42" t="d">
        <x:v>2026-10-18T00:00:00.000Z</x:v>
      </x:c>
    </x:row>
    <x:row r="6">
      <x:c r="A6" s="44" t="str">
        <x:v>Category</x:v>
      </x:c>
      <x:c r="B6" s="44" t="str">
        <x:v>Records</x:v>
      </x:c>
      <x:c r="C6" s="44" t="str">
        <x:v>Contents</x:v>
      </x:c>
    </x:row>
    <x:row r="7">
      <x:c r="A7" s="47" t="str">
        <x:v>CPU</x:v>
      </x:c>
      <x:c r="B7" s="47" t="n">
        <x:f>COUNTA('CPU'!A7:A1000)</x:f>
        <x:v>8</x:v>
      </x:c>
      <x:c r="C7" s="47" t="str">
        <x:v>Server, workstation and HBM CPU parts</x:v>
      </x:c>
    </x:row>
    <x:row r="8">
      <x:c r="A8" s="46" t="str">
        <x:v>GPU</x:v>
      </x:c>
      <x:c r="B8" s="46" t="n">
        <x:f>COUNTA('GPU'!A7:A1000)</x:f>
        <x:v>10</x:v>
      </x:c>
      <x:c r="C8" s="46" t="str">
        <x:v>Consumer and data-center GPUs</x:v>
      </x:c>
    </x:row>
    <x:row r="9">
      <x:c r="A9" s="48" t="str">
        <x:v>Mobile SoC</x:v>
      </x:c>
      <x:c r="B9" s="48" t="n">
        <x:f>COUNTA('Mobile SoC'!A7:A1000)</x:f>
        <x:v>10</x:v>
      </x:c>
      <x:c r="C9" s="48" t="str">
        <x:v>Integrated processors with LPDDR or unified memory</x:v>
      </x:c>
    </x:row>
    <x:row r="10">
      <x:c r="A10" s="46" t="str">
        <x:v>SoM</x:v>
      </x:c>
      <x:c r="B10" s="46" t="n">
        <x:f>COUNTA('SoM'!A7:A1000)</x:f>
        <x:v>6</x:v>
      </x:c>
      <x:c r="C10" s="46" t="str">
        <x:v>Purchasable modules for carrier-board prototypes</x:v>
      </x:c>
    </x:row>
    <x:row r="11">
      <x:c r="A11" s="48" t="str">
        <x:v>Accelerator</x:v>
      </x:c>
      <x:c r="B11" s="48" t="n">
        <x:f>COUNTA('Accelerator'!A7:A1000)</x:f>
        <x:v>5</x:v>
      </x:c>
      <x:c r="C11" s="48" t="str">
        <x:v>AI accelerators and FPGA cards</x:v>
      </x:c>
    </x:row>
    <x:row r="12">
      <x:c r="A12" s="46" t="str">
        <x:v>Platform</x:v>
      </x:c>
      <x:c r="B12" s="46" t="n">
        <x:f>COUNTA('Platform'!A7:A1000)</x:f>
        <x:v>7</x:v>
      </x:c>
      <x:c r="C12" s="46" t="str">
        <x:v>Complete systems and server platforms</x:v>
      </x:c>
    </x:row>
    <x:row r="15">
      <x:c r="A15" s="50" t="str">
        <x:v>Use notes</x:v>
      </x:c>
      <x:c r="B15" s="50"/>
      <x:c r="C15" s="50"/>
      <x:c r="D15" s="50"/>
      <x:c r="E15" s="50"/>
      <x:c r="F15" s="50"/>
      <x:c r="G15" s="50"/>
      <x:c r="H15" s="50"/>
    </x:row>
    <x:row r="16" ht="30" customHeight="1">
      <x:c r="A16" s="51" t="str">
        <x:v>Prices are point-in-time observations. Recheck price, stock, seller reputation and exact part number before purchase.</x:v>
      </x:c>
      <x:c r="B16" s="51"/>
      <x:c r="C16" s="51"/>
      <x:c r="D16" s="51"/>
      <x:c r="E16" s="51"/>
      <x:c r="F16" s="51"/>
      <x:c r="G16" s="51"/>
      <x:c r="H16" s="51"/>
    </x:row>
    <x:row r="17" ht="30" customHeight="1">
      <x:c r="A17" s="51" t="str">
        <x:v>Peak memory bandwidth is theoretical. Real decode throughput depends on kernels, quantization, memory access and compute utilization.</x:v>
      </x:c>
      <x:c r="B17" s="51"/>
      <x:c r="C17" s="51"/>
      <x:c r="D17" s="51"/>
      <x:c r="E17" s="51"/>
      <x:c r="F17" s="51"/>
      <x:c r="G17" s="51"/>
      <x:c r="H17" s="51"/>
    </x:row>
    <x:row r="18" ht="30" customHeight="1">
      <x:c r="A18" s="51" t="str">
        <x:v>One-TiB cost formulas count devices or modules only. They exclude hosts, carriers, switches, cooling, power and cables.</x:v>
      </x:c>
      <x:c r="B18" s="51"/>
      <x:c r="C18" s="51"/>
      <x:c r="D18" s="51"/>
      <x:c r="E18" s="51"/>
      <x:c r="F18" s="51"/>
      <x:c r="G18" s="51"/>
      <x:c r="H18" s="51"/>
    </x:row>
    <x:row r="19" ht="30" customHeight="1">
      <x:c r="A19" s="51" t="str">
        <x:v>CPU prices exclude RAM. Maximum CPU memory capacity is a platform limit, not memory included with the processor.</x:v>
      </x:c>
      <x:c r="B19" s="51"/>
      <x:c r="C19" s="51"/>
      <x:c r="D19" s="51"/>
      <x:c r="E19" s="51"/>
      <x:c r="F19" s="51"/>
      <x:c r="G19" s="51"/>
      <x:c r="H19" s="51"/>
    </x:row>
    <x:row r="20" ht="30" customHeight="1">
      <x:c r="A20" s="51" t="str">
        <x:v>Distributed memory is not automatically a unified pool. Tensor or pipeline parallel execution still needs an appropriate interconnect.</x:v>
      </x:c>
      <x:c r="B20" s="51"/>
      <x:c r="C20" s="51"/>
      <x:c r="D20" s="51"/>
      <x:c r="E20" s="51"/>
      <x:c r="F20" s="51"/>
      <x:c r="G20" s="51"/>
      <x:c r="H20" s="51"/>
    </x:row>
    <x:row r="21" ht="30" customHeight="1">
      <x:c r="A21" s="51" t="str">
        <x:v>Blank fields mean the vendor does not publish the value or no credible current price was found.</x:v>
      </x:c>
      <x:c r="B21" s="51"/>
      <x:c r="C21" s="51"/>
      <x:c r="D21" s="51"/>
      <x:c r="E21" s="51"/>
      <x:c r="F21" s="51"/>
      <x:c r="G21" s="51"/>
      <x:c r="H21" s="51"/>
    </x:row>
  </x:sheetData>
  <x:mergeCells>
    <x:mergeCell ref="A16:H16"/>
    <x:mergeCell ref="A17:H17"/>
    <x:mergeCell ref="A18:H18"/>
    <x:mergeCell ref="A19:H19"/>
    <x:mergeCell ref="A20:H20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21" hidden="0" customWidth="1"/>
    <x:col min="4" max="4" width="18" hidden="0" customWidth="1"/>
    <x:col min="5" max="5" width="13" hidden="0" customWidth="1"/>
    <x:col min="6" max="6" width="14.779999732971191" hidden="0" customWidth="1"/>
    <x:col min="7" max="7" width="13.220000267028809" hidden="0" customWidth="1"/>
    <x:col min="8" max="8" width="16.670000076293945" hidden="0" customWidth="1"/>
    <x:col min="9" max="9" width="11.779999732971191" hidden="0" customWidth="1"/>
    <x:col min="10" max="10" width="8" hidden="0" customWidth="1"/>
    <x:col min="11" max="11" width="15.220000267028809" hidden="0" customWidth="1"/>
    <x:col min="12" max="12" width="6.21999979019165" hidden="0" customWidth="1"/>
    <x:col min="13" max="13" width="8.670000076293945" hidden="0" customWidth="1"/>
    <x:col min="14" max="14" width="24" hidden="0" customWidth="1"/>
    <x:col min="15" max="15" width="22" hidden="0" customWidth="1"/>
    <x:col min="16" max="16" width="7.559999942779541" hidden="0" customWidth="1"/>
    <x:col min="17" max="17" width="42" hidden="0" customWidth="1"/>
    <x:col min="18" max="18" width="52" hidden="0" customWidth="1"/>
  </x:cols>
  <x:sheetData>
    <x:row r="2">
      <x:c r="A2" s="1" t="str">
        <x:v>CPU database</x:v>
      </x:c>
    </x:row>
    <x:row r="3" ht="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18" customHeight="1">
      <x:c r="A4" s="24" t="str">
        <x:v>Peak bandwidth is theoretical. CPU prices exclude memory, motherboard, chassis and networking.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</x:row>
    <x:row r="6" ht="32" hidden="0" customHeight="1">
      <x:c r="A6" s="16" t="str">
        <x:v>Vendor</x:v>
      </x:c>
      <x:c r="B6" s="17" t="str">
        <x:v>Model</x:v>
      </x:c>
      <x:c r="C6" s="17" t="str">
        <x:v>Architecture</x:v>
      </x:c>
      <x:c r="D6" s="17" t="str">
        <x:v>Memory type</x:v>
      </x:c>
      <x:c r="E6" s="17" t="str">
        <x:v>Channels / stacks</x:v>
      </x:c>
      <x:c r="F6" s="17" t="str">
        <x:v>Max data rate (MT/s)</x:v>
      </x:c>
      <x:c r="G6" s="17" t="str">
        <x:v>Max memory (GB)</x:v>
      </x:c>
      <x:c r="H6" s="17" t="str">
        <x:v>Peak bandwidth (GB/s)</x:v>
      </x:c>
      <x:c r="I6" s="17" t="str">
        <x:v>PCIe generation</x:v>
      </x:c>
      <x:c r="J6" s="17" t="str">
        <x:v>PCIe lanes</x:v>
      </x:c>
      <x:c r="K6" s="17" t="str">
        <x:v>Socket / form</x:v>
      </x:c>
      <x:c r="L6" s="17" t="str">
        <x:v>TDP (W)</x:v>
      </x:c>
      <x:c r="M6" s="17" t="str">
        <x:v>Price (USD)</x:v>
      </x:c>
      <x:c r="N6" s="17" t="str">
        <x:v>Price basis</x:v>
      </x:c>
      <x:c r="O6" s="17" t="str">
        <x:v>Availability</x:v>
      </x:c>
      <x:c r="P6" s="17" t="str">
        <x:v>Price date</x:v>
      </x:c>
      <x:c r="Q6" s="17" t="str">
        <x:v>Source</x:v>
      </x:c>
      <x:c r="R6" s="18" t="str">
        <x:v>Notes</x:v>
      </x:c>
    </x:row>
    <x:row r="7" ht="15" hidden="0" customHeight="1">
      <x:c r="A7" s="22" t="str">
        <x:v>AMD</x:v>
      </x:c>
      <x:c r="B7" s="22" t="str">
        <x:v>EPYC 9996</x:v>
      </x:c>
      <x:c r="C7" s="22" t="str">
        <x:v>Zen 6 / Venice</x:v>
      </x:c>
      <x:c r="D7" s="22" t="str">
        <x:v>DDR5 / MRDIMM</x:v>
      </x:c>
      <x:c r="E7" s="31" t="n">
        <x:v>16</x:v>
      </x:c>
      <x:c r="F7" s="31" t="n">
        <x:v>12800</x:v>
      </x:c>
      <x:c r="G7" s="31" t="n">
        <x:v>8192</x:v>
      </x:c>
      <x:c r="H7" s="28" t="n">
        <x:v>1638.4</x:v>
      </x:c>
      <x:c r="I7" s="22" t="str">
        <x:v>PCIe 6.0</x:v>
      </x:c>
      <x:c r="J7" s="31" t="n">
        <x:v>96</x:v>
      </x:c>
      <x:c r="K7" s="22" t="str">
        <x:v>SP7</x:v>
      </x:c>
      <x:c r="L7" s="31" t="n">
        <x:v>600</x:v>
      </x:c>
      <x:c r="M7" s="25" t="n">
        <x:v>14904</x:v>
      </x:c>
      <x:c r="N7" s="22" t="str">
        <x:v>1KU list</x:v>
      </x:c>
      <x:c r="O7" s="22" t="str">
        <x:v>Launched; server channel</x:v>
      </x:c>
      <x:c r="P7" s="34" t="d">
        <x:v>2026-10-18T00:00:00.000Z</x:v>
      </x:c>
      <x:c r="Q7" s="37" t="str">
        <x:v>https://www.amd.com/en/blogs/2026/agentic-ai-amd-epyc-9005-cpus-wins-today-epyc-9006.html</x:v>
      </x:c>
      <x:c r="R7" s="22" t="str">
        <x:v>Bandwidth is theoretical at MRDIMM-12800. Max memory is a platform estimate pending a detailed public SKU datasheet.</x:v>
      </x:c>
    </x:row>
    <x:row r="8" ht="15" hidden="0" customHeight="1">
      <x:c r="A8" s="21" t="str">
        <x:v>AMD</x:v>
      </x:c>
      <x:c r="B8" s="21" t="str">
        <x:v>EPYC 9965</x:v>
      </x:c>
      <x:c r="C8" s="21" t="str">
        <x:v>Zen 5c / Turin Dense</x:v>
      </x:c>
      <x:c r="D8" s="21" t="str">
        <x:v>DDR5 RDIMM</x:v>
      </x:c>
      <x:c r="E8" s="32" t="n">
        <x:v>12</x:v>
      </x:c>
      <x:c r="F8" s="32" t="n">
        <x:v>6400</x:v>
      </x:c>
      <x:c r="G8" s="32" t="n">
        <x:v>6144</x:v>
      </x:c>
      <x:c r="H8" s="29" t="n">
        <x:v>614</x:v>
      </x:c>
      <x:c r="I8" s="21" t="str">
        <x:v>PCIe 5.0</x:v>
      </x:c>
      <x:c r="J8" s="32" t="n">
        <x:v>128</x:v>
      </x:c>
      <x:c r="K8" s="21" t="str">
        <x:v>SP5</x:v>
      </x:c>
      <x:c r="L8" s="32" t="n">
        <x:v>500</x:v>
      </x:c>
      <x:c r="M8" s="26" t="n">
        <x:v>11988</x:v>
      </x:c>
      <x:c r="N8" s="21" t="str">
        <x:v>1KU list</x:v>
      </x:c>
      <x:c r="O8" s="21" t="str">
        <x:v>Launched; server channel</x:v>
      </x:c>
      <x:c r="P8" s="35" t="d">
        <x:v>2026-10-18T00:00:00.000Z</x:v>
      </x:c>
      <x:c r="Q8" s="38" t="str">
        <x:v>https://www.amd.com/en/products/processors/server/epyc/9005-series/amd-epyc-9965.html</x:v>
      </x:c>
      <x:c r="R8" s="21" t="str">
        <x:v>Six TB DDR5 per socket. AMD also documents up to 2 TB of CXL memory beyond DDR capacity.</x:v>
      </x:c>
    </x:row>
    <x:row r="9" ht="15" hidden="0" customHeight="1">
      <x:c r="A9" s="23" t="str">
        <x:v>Intel</x:v>
      </x:c>
      <x:c r="B9" s="23" t="str">
        <x:v>Xeon 6980P</x:v>
      </x:c>
      <x:c r="C9" s="23" t="str">
        <x:v>Granite Rapids</x:v>
      </x:c>
      <x:c r="D9" s="23" t="str">
        <x:v>DDR5 / MRDIMM</x:v>
      </x:c>
      <x:c r="E9" s="33" t="n">
        <x:v>12</x:v>
      </x:c>
      <x:c r="F9" s="33" t="n">
        <x:v>8800</x:v>
      </x:c>
      <x:c r="G9" s="33" t="n">
        <x:v>3072</x:v>
      </x:c>
      <x:c r="H9" s="30" t="n">
        <x:v>844.8</x:v>
      </x:c>
      <x:c r="I9" s="23" t="str">
        <x:v>PCIe 5.0</x:v>
      </x:c>
      <x:c r="J9" s="33" t="n">
        <x:v>96</x:v>
      </x:c>
      <x:c r="K9" s="23" t="str">
        <x:v>FCLGA7529</x:v>
      </x:c>
      <x:c r="L9" s="33" t="n">
        <x:v>500</x:v>
      </x:c>
      <x:c r="M9" s="27" t="n">
        <x:v>13955</x:v>
      </x:c>
      <x:c r="N9" s="23" t="str">
        <x:v>Recommended customer price</x:v>
      </x:c>
      <x:c r="O9" s="23" t="str">
        <x:v>Launched; server channel</x:v>
      </x:c>
      <x:c r="P9" s="36" t="d">
        <x:v>2026-10-18T00:00:00.000Z</x:v>
      </x:c>
      <x:c r="Q9" s="39" t="str">
        <x:v>https://www.intel.com/content/www/us/en/products/sku/240777/intel-xeon-6980p-processor-504m-cache-2-00-ghz/specifications.html</x:v>
      </x:c>
      <x:c r="R9" s="23" t="str">
        <x:v>844.8 GB/s assumes 12 channels at MRDIMM-8800. DDR5-6400 yields 614.4 GB/s.</x:v>
      </x:c>
    </x:row>
    <x:row r="10" ht="15" hidden="0" customHeight="1">
      <x:c r="A10" s="21" t="str">
        <x:v>AMD</x:v>
      </x:c>
      <x:c r="B10" s="21" t="str">
        <x:v>EPYC 9654</x:v>
      </x:c>
      <x:c r="C10" s="21" t="str">
        <x:v>Zen 4 / Genoa</x:v>
      </x:c>
      <x:c r="D10" s="21" t="str">
        <x:v>DDR5 RDIMM</x:v>
      </x:c>
      <x:c r="E10" s="32" t="n">
        <x:v>12</x:v>
      </x:c>
      <x:c r="F10" s="32" t="n">
        <x:v>4800</x:v>
      </x:c>
      <x:c r="G10" s="32" t="n">
        <x:v>6144</x:v>
      </x:c>
      <x:c r="H10" s="29" t="n">
        <x:v>460.8</x:v>
      </x:c>
      <x:c r="I10" s="21" t="str">
        <x:v>PCIe 5.0</x:v>
      </x:c>
      <x:c r="J10" s="32" t="n">
        <x:v>128</x:v>
      </x:c>
      <x:c r="K10" s="21" t="str">
        <x:v>SP5</x:v>
      </x:c>
      <x:c r="L10" s="32" t="n">
        <x:v>360</x:v>
      </x:c>
      <x:c r="M10" s="26" t="n">
        <x:v>8452</x:v>
      </x:c>
      <x:c r="N10" s="21" t="str">
        <x:v>1KU list</x:v>
      </x:c>
      <x:c r="O10" s="21" t="str">
        <x:v>Launched; broadly available</x:v>
      </x:c>
      <x:c r="P10" s="35" t="d">
        <x:v>2026-10-18T00:00:00.000Z</x:v>
      </x:c>
      <x:c r="Q10" s="38" t="str">
        <x:v>https://www.amd.com/en/products/processors/server/epyc/4th-generation-9004-and-8004-series/amd-epyc-9654.html</x:v>
      </x:c>
      <x:c r="R10" s="21" t="str">
        <x:v>CPU price excludes motherboard and twelve or twenty-four DIMMs.</x:v>
      </x:c>
    </x:row>
    <x:row r="11" ht="15" hidden="0" customHeight="1">
      <x:c r="A11" s="23" t="str">
        <x:v>AMD</x:v>
      </x:c>
      <x:c r="B11" s="23" t="str">
        <x:v>Threadripper PRO 9995WX</x:v>
      </x:c>
      <x:c r="C11" s="23" t="str">
        <x:v>Zen 5</x:v>
      </x:c>
      <x:c r="D11" s="23" t="str">
        <x:v>DDR5 ECC RDIMM</x:v>
      </x:c>
      <x:c r="E11" s="33" t="n">
        <x:v>8</x:v>
      </x:c>
      <x:c r="F11" s="33" t="n">
        <x:v>6400</x:v>
      </x:c>
      <x:c r="G11" s="33" t="n">
        <x:v>2048</x:v>
      </x:c>
      <x:c r="H11" s="30" t="n">
        <x:v>409.6</x:v>
      </x:c>
      <x:c r="I11" s="23" t="str">
        <x:v>PCIe 5.0</x:v>
      </x:c>
      <x:c r="J11" s="33" t="n">
        <x:v>128</x:v>
      </x:c>
      <x:c r="K11" s="23" t="str">
        <x:v>sTR5 / WRX90</x:v>
      </x:c>
      <x:c r="L11" s="33" t="n">
        <x:v>350</x:v>
      </x:c>
      <x:c r="M11" s="27" t="n">
        <x:v>11699</x:v>
      </x:c>
      <x:c r="N11" s="23" t="str">
        <x:v>Launch MSRP</x:v>
      </x:c>
      <x:c r="O11" s="23" t="str">
        <x:v>Retail workstation channel</x:v>
      </x:c>
      <x:c r="P11" s="36" t="d">
        <x:v>2026-10-18T00:00:00.000Z</x:v>
      </x:c>
      <x:c r="Q11" s="39" t="str">
        <x:v>https://www.amd.com/en/products/processors/workstations/ryzen-threadripper.html</x:v>
      </x:c>
      <x:c r="R11" s="23" t="str">
        <x:v>Workstation platform. Maximum capacity depends on the WRX90 motherboard and supported RDIMMs.</x:v>
      </x:c>
    </x:row>
    <x:row r="12" ht="15" hidden="0" customHeight="1">
      <x:c r="A12" s="21" t="str">
        <x:v>Intel</x:v>
      </x:c>
      <x:c r="B12" s="21" t="str">
        <x:v>Xeon Platinum 8592+</x:v>
      </x:c>
      <x:c r="C12" s="21" t="str">
        <x:v>Emerald Rapids</x:v>
      </x:c>
      <x:c r="D12" s="21" t="str">
        <x:v>DDR5 RDIMM</x:v>
      </x:c>
      <x:c r="E12" s="32" t="n">
        <x:v>8</x:v>
      </x:c>
      <x:c r="F12" s="32" t="n">
        <x:v>5600</x:v>
      </x:c>
      <x:c r="G12" s="32" t="n">
        <x:v>4096</x:v>
      </x:c>
      <x:c r="H12" s="29" t="n">
        <x:v>358.4</x:v>
      </x:c>
      <x:c r="I12" s="21" t="str">
        <x:v>PCIe 5.0</x:v>
      </x:c>
      <x:c r="J12" s="32" t="n">
        <x:v>80</x:v>
      </x:c>
      <x:c r="K12" s="21" t="str">
        <x:v>FCLGA4677</x:v>
      </x:c>
      <x:c r="L12" s="32" t="n">
        <x:v>350</x:v>
      </x:c>
      <x:c r="M12" s="26" t="n">
        <x:v>2280</x:v>
      </x:c>
      <x:c r="N12" s="21" t="str">
        <x:v>Observed 2025 retail discount</x:v>
      </x:c>
      <x:c r="O12" s="21" t="str">
        <x:v>Retail and server channel</x:v>
      </x:c>
      <x:c r="P12" s="35" t="d">
        <x:v>2026-10-18T00:00:00.000Z</x:v>
      </x:c>
      <x:c r="Q12" s="38" t="str">
        <x:v>https://www.tomshardware.com/pc-components/cpus/retailers-quietly-slash-prices-of-amds-and-intels-latest-epyc-and-xeon-cpus-by-up-to-50-percent-inexplicable-price-drops-left-unexplained</x:v>
      </x:c>
      <x:c r="R12" s="21" t="str">
        <x:v>Vendor RCP was much higher. Recheck current distributor stock before purchase.</x:v>
      </x:c>
    </x:row>
    <x:row r="13" ht="15" hidden="0" customHeight="1">
      <x:c r="A13" s="23" t="str">
        <x:v>AMD</x:v>
      </x:c>
      <x:c r="B13" s="23" t="str">
        <x:v>EPYC 7742</x:v>
      </x:c>
      <x:c r="C13" s="23" t="str">
        <x:v>Zen 2 / Rome</x:v>
      </x:c>
      <x:c r="D13" s="23" t="str">
        <x:v>DDR4 RDIMM</x:v>
      </x:c>
      <x:c r="E13" s="33" t="n">
        <x:v>8</x:v>
      </x:c>
      <x:c r="F13" s="33" t="n">
        <x:v>3200</x:v>
      </x:c>
      <x:c r="G13" s="33" t="n">
        <x:v>4096</x:v>
      </x:c>
      <x:c r="H13" s="30" t="n">
        <x:v>204.8</x:v>
      </x:c>
      <x:c r="I13" s="23" t="str">
        <x:v>PCIe 4.0</x:v>
      </x:c>
      <x:c r="J13" s="33" t="n">
        <x:v>128</x:v>
      </x:c>
      <x:c r="K13" s="23" t="str">
        <x:v>SP3</x:v>
      </x:c>
      <x:c r="L13" s="33" t="n">
        <x:v>225</x:v>
      </x:c>
      <x:c r="M13" s="27" t="n">
        <x:v>800</x:v>
      </x:c>
      <x:c r="N13" s="23" t="str">
        <x:v>Typical used estimate</x:v>
      </x:c>
      <x:c r="O13" s="23" t="str">
        <x:v>Common on used market</x:v>
      </x:c>
      <x:c r="P13" s="36" t="d">
        <x:v>2026-10-18T00:00:00.000Z</x:v>
      </x:c>
      <x:c r="Q13" s="39" t="str">
        <x:v>https://www.amd.com/en/products/processors/server/epyc/7002-series.html</x:v>
      </x:c>
      <x:c r="R13" s="23" t="str">
        <x:v>Used price varies strongly with locking status and seller testing.</x:v>
      </x:c>
    </x:row>
    <x:row r="14" ht="15" hidden="0" customHeight="1">
      <x:c r="A14" s="21" t="str">
        <x:v>Fujitsu</x:v>
      </x:c>
      <x:c r="B14" s="21" t="str">
        <x:v>A64FX</x:v>
      </x:c>
      <x:c r="C14" s="21" t="str">
        <x:v>Armv8.2-A SVE</x:v>
      </x:c>
      <x:c r="D14" s="21" t="str">
        <x:v>HBM2</x:v>
      </x:c>
      <x:c r="E14" s="32" t="n">
        <x:v>4</x:v>
      </x:c>
      <x:c r="F14" s="32"/>
      <x:c r="G14" s="32" t="n">
        <x:v>32</x:v>
      </x:c>
      <x:c r="H14" s="29" t="n">
        <x:v>1024</x:v>
      </x:c>
      <x:c r="I14" s="21" t="str">
        <x:v>PCIe 3.0</x:v>
      </x:c>
      <x:c r="J14" s="32" t="n">
        <x:v>16</x:v>
      </x:c>
      <x:c r="K14" s="21" t="str">
        <x:v>Soldered CPU module</x:v>
      </x:c>
      <x:c r="L14" s="32" t="n">
        <x:v>150</x:v>
      </x:c>
      <x:c r="M14" s="26"/>
      <x:c r="N14" s="21" t="str">
        <x:v>Quote only</x:v>
      </x:c>
      <x:c r="O14" s="21" t="str">
        <x:v>Only in Fujitsu/HPE systems</x:v>
      </x:c>
      <x:c r="P14" s="35" t="d">
        <x:v>2026-10-18T00:00:00.000Z</x:v>
      </x:c>
      <x:c r="Q14" s="38" t="str">
        <x:v>https://global.fujitsu/en-global/technology/research/fugaku/specifications</x:v>
      </x:c>
      <x:c r="R14" s="21" t="str">
        <x:v>HBM capacity is fixed. PCIe is primarily for I/O rather than large accelerator fan-out.</x:v>
      </x:c>
    </x:row>
  </x:sheetData>
  <x:pageMargins left="0.7" right="0.7" top="0.75" bottom="0.75" header="0.3" footer="0.3"/>
  <x:tableParts count="1">
    <x:tablePart xmlns:r="http://schemas.openxmlformats.org/officeDocument/2006/relationships" r:id="R7670795ad9794e9e"/>
  </x:tableParts>
</x:worksheet>
</file>

<file path=xl/worksheets/sheet3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16" hidden="0" customWidth="1"/>
    <x:col min="4" max="4" width="17" hidden="0" customWidth="1"/>
    <x:col min="5" max="5" width="9.670000076293945" hidden="0" customWidth="1"/>
    <x:col min="6" max="6" width="9.779999732971191" hidden="0" customWidth="1"/>
    <x:col min="7" max="7" width="16.670000076293945" hidden="0" customWidth="1"/>
    <x:col min="8" max="8" width="10.329999923706055" hidden="0" customWidth="1"/>
    <x:col min="9" max="9" width="8" hidden="0" customWidth="1"/>
    <x:col min="10" max="10" width="14.220000267028809" hidden="0" customWidth="1"/>
    <x:col min="11" max="11" width="16.329999923706055" hidden="0" customWidth="1"/>
    <x:col min="12" max="12" width="6.21999979019165" hidden="0" customWidth="1"/>
    <x:col min="13" max="13" width="8.670000076293945" hidden="0" customWidth="1"/>
    <x:col min="14" max="14" width="25" hidden="0" customWidth="1"/>
    <x:col min="15" max="15" width="22" hidden="0" customWidth="1"/>
    <x:col min="16" max="16" width="7.559999942779541" hidden="0" customWidth="1"/>
    <x:col min="17" max="17" width="11.4399995803833" hidden="0" customWidth="1"/>
    <x:col min="18" max="18" width="17.110000610351562" hidden="0" customWidth="1"/>
    <x:col min="19" max="19" width="42" hidden="0" customWidth="1"/>
    <x:col min="20" max="20" width="54" hidden="0" customWidth="1"/>
  </x:cols>
  <x:sheetData>
    <x:row r="2">
      <x:c r="A2" s="1" t="str">
        <x:v>GPU database</x:v>
      </x:c>
    </x:row>
    <x:row r="3" ht="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18" customHeight="1">
      <x:c r="A4" s="24" t="str">
        <x:v>One-TiB figures count devices only. They exclude hosts, bridges, cooling, power delivery and networking.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</x:row>
    <x:row r="6" ht="32" hidden="0" customHeight="1">
      <x:c r="A6" s="16" t="str">
        <x:v>Vendor</x:v>
      </x:c>
      <x:c r="B6" s="17" t="str">
        <x:v>Model</x:v>
      </x:c>
      <x:c r="C6" s="17" t="str">
        <x:v>Architecture</x:v>
      </x:c>
      <x:c r="D6" s="17" t="str">
        <x:v>Form factor</x:v>
      </x:c>
      <x:c r="E6" s="17" t="str">
        <x:v>Memory type</x:v>
      </x:c>
      <x:c r="F6" s="17" t="str">
        <x:v>Memory (GB)</x:v>
      </x:c>
      <x:c r="G6" s="17" t="str">
        <x:v>Peak bandwidth (GB/s)</x:v>
      </x:c>
      <x:c r="H6" s="17" t="str">
        <x:v>Host interface</x:v>
      </x:c>
      <x:c r="I6" s="17" t="str">
        <x:v>Host lanes</x:v>
      </x:c>
      <x:c r="J6" s="17" t="str">
        <x:v>Peer interconnect</x:v>
      </x:c>
      <x:c r="K6" s="17" t="str">
        <x:v>Peer bandwidth (GB/s)</x:v>
      </x:c>
      <x:c r="L6" s="17" t="str">
        <x:v>TDP (W)</x:v>
      </x:c>
      <x:c r="M6" s="17" t="str">
        <x:v>Price (USD)</x:v>
      </x:c>
      <x:c r="N6" s="17" t="str">
        <x:v>Price basis</x:v>
      </x:c>
      <x:c r="O6" s="17" t="str">
        <x:v>Availability</x:v>
      </x:c>
      <x:c r="P6" s="17" t="str">
        <x:v>Price date</x:v>
      </x:c>
      <x:c r="Q6" s="17" t="str">
        <x:v>Nodes for 1 TiB</x:v>
      </x:c>
      <x:c r="R6" s="17" t="str">
        <x:v>1 TiB device cost (USD)</x:v>
      </x:c>
      <x:c r="S6" s="17" t="str">
        <x:v>Source</x:v>
      </x:c>
      <x:c r="T6" s="18" t="str">
        <x:v>Notes</x:v>
      </x:c>
    </x:row>
    <x:row r="7" ht="15" hidden="0" customHeight="1">
      <x:c r="A7" s="22" t="str">
        <x:v>NVIDIA</x:v>
      </x:c>
      <x:c r="B7" s="22" t="str">
        <x:v>Tesla M40 24GB</x:v>
      </x:c>
      <x:c r="C7" s="22" t="str">
        <x:v>Maxwell</x:v>
      </x:c>
      <x:c r="D7" s="22" t="str">
        <x:v>PCIe passive</x:v>
      </x:c>
      <x:c r="E7" s="22" t="str">
        <x:v>GDDR5</x:v>
      </x:c>
      <x:c r="F7" s="31" t="n">
        <x:v>24</x:v>
      </x:c>
      <x:c r="G7" s="28" t="n">
        <x:v>288</x:v>
      </x:c>
      <x:c r="H7" s="22" t="str">
        <x:v>PCIe 3.0</x:v>
      </x:c>
      <x:c r="I7" s="31" t="n">
        <x:v>16</x:v>
      </x:c>
      <x:c r="J7" s="22" t="str">
        <x:v>None</x:v>
      </x:c>
      <x:c r="K7" s="28"/>
      <x:c r="L7" s="31" t="n">
        <x:v>250</x:v>
      </x:c>
      <x:c r="M7" s="25" t="n">
        <x:v>200</x:v>
      </x:c>
      <x:c r="N7" s="22" t="str">
        <x:v>Recent used sold listing</x:v>
      </x:c>
      <x:c r="O7" s="22" t="str">
        <x:v>Common used</x:v>
      </x:c>
      <x:c r="P7" s="34" t="d">
        <x:v>2026-10-18T00:00:00.000Z</x:v>
      </x:c>
      <x:c r="Q7" s="31" t="n">
        <x:f>IF(OR(F7="",F7=0),"",ROUNDUP(1024/F7,0))</x:f>
        <x:v>43</x:v>
      </x:c>
      <x:c r="R7" s="25" t="n">
        <x:f>IF(OR(M7="",M7=0,Q7=""),"",M7*Q7)</x:f>
        <x:v>8600</x:v>
      </x:c>
      <x:c r="S7" s="37" t="str">
        <x:v>https://www.ebay.com/itm/267719805673</x:v>
      </x:c>
      <x:c r="T7" s="22" t="str">
        <x:v>Needs forced airflow and an EPS-style power cable. Weak low-precision support by modern standards.</x:v>
      </x:c>
    </x:row>
    <x:row r="8" ht="15" hidden="0" customHeight="1">
      <x:c r="A8" s="21" t="str">
        <x:v>NVIDIA</x:v>
      </x:c>
      <x:c r="B8" s="21" t="str">
        <x:v>Tesla P40 24GB</x:v>
      </x:c>
      <x:c r="C8" s="21" t="str">
        <x:v>Pascal</x:v>
      </x:c>
      <x:c r="D8" s="21" t="str">
        <x:v>PCIe passive</x:v>
      </x:c>
      <x:c r="E8" s="21" t="str">
        <x:v>GDDR5</x:v>
      </x:c>
      <x:c r="F8" s="32" t="n">
        <x:v>24</x:v>
      </x:c>
      <x:c r="G8" s="29" t="n">
        <x:v>347</x:v>
      </x:c>
      <x:c r="H8" s="21" t="str">
        <x:v>PCIe 3.0</x:v>
      </x:c>
      <x:c r="I8" s="32" t="n">
        <x:v>16</x:v>
      </x:c>
      <x:c r="J8" s="21" t="str">
        <x:v>None</x:v>
      </x:c>
      <x:c r="K8" s="29"/>
      <x:c r="L8" s="32" t="n">
        <x:v>250</x:v>
      </x:c>
      <x:c r="M8" s="26" t="n">
        <x:v>280</x:v>
      </x:c>
      <x:c r="N8" s="21" t="str">
        <x:v>Recent used sold listing</x:v>
      </x:c>
      <x:c r="O8" s="21" t="str">
        <x:v>Common used</x:v>
      </x:c>
      <x:c r="P8" s="35" t="d">
        <x:v>2026-10-18T00:00:00.000Z</x:v>
      </x:c>
      <x:c r="Q8" s="31" t="n">
        <x:f>IF(OR(F8="",F8=0),"",ROUNDUP(1024/F8,0))</x:f>
        <x:v>43</x:v>
      </x:c>
      <x:c r="R8" s="25" t="n">
        <x:f>IF(OR(M8="",M8=0,Q8=""),"",M8*Q8)</x:f>
        <x:v>12040</x:v>
      </x:c>
      <x:c r="S8" s="38" t="str">
        <x:v>https://www.ebay.com/itm/227443217541</x:v>
      </x:c>
      <x:c r="T8" s="21" t="str">
        <x:v>Useful capacity per dollar, but tensor-core acceleration is absent.</x:v>
      </x:c>
    </x:row>
    <x:row r="9" ht="15" hidden="0" customHeight="1">
      <x:c r="A9" s="23" t="str">
        <x:v>NVIDIA</x:v>
      </x:c>
      <x:c r="B9" s="23" t="str">
        <x:v>Tesla P100 PCIe 16GB</x:v>
      </x:c>
      <x:c r="C9" s="23" t="str">
        <x:v>Pascal</x:v>
      </x:c>
      <x:c r="D9" s="23" t="str">
        <x:v>PCIe passive</x:v>
      </x:c>
      <x:c r="E9" s="23" t="str">
        <x:v>HBM2</x:v>
      </x:c>
      <x:c r="F9" s="33" t="n">
        <x:v>16</x:v>
      </x:c>
      <x:c r="G9" s="30" t="n">
        <x:v>732</x:v>
      </x:c>
      <x:c r="H9" s="23" t="str">
        <x:v>PCIe 3.0</x:v>
      </x:c>
      <x:c r="I9" s="33" t="n">
        <x:v>16</x:v>
      </x:c>
      <x:c r="J9" s="23" t="str">
        <x:v>None on PCIe model</x:v>
      </x:c>
      <x:c r="K9" s="30"/>
      <x:c r="L9" s="33" t="n">
        <x:v>250</x:v>
      </x:c>
      <x:c r="M9" s="27" t="n">
        <x:v>250</x:v>
      </x:c>
      <x:c r="N9" s="23" t="str">
        <x:v>Typical used estimate</x:v>
      </x:c>
      <x:c r="O9" s="23" t="str">
        <x:v>Used</x:v>
      </x:c>
      <x:c r="P9" s="36" t="d">
        <x:v>2026-10-18T00:00:00.000Z</x:v>
      </x:c>
      <x:c r="Q9" s="31" t="n">
        <x:f>IF(OR(F9="",F9=0),"",ROUNDUP(1024/F9,0))</x:f>
        <x:v>64</x:v>
      </x:c>
      <x:c r="R9" s="25" t="n">
        <x:f>IF(OR(M9="",M9=0,Q9=""),"",M9*Q9)</x:f>
        <x:v>16000</x:v>
      </x:c>
      <x:c r="S9" s="39" t="str">
        <x:v>https://images.nvidia.com/content/pdf/tesla/whitepaper/pascal-architecture-whitepaper.pdf</x:v>
      </x:c>
      <x:c r="T9" s="23" t="str">
        <x:v>High bandwidth but only 16 GB per card.</x:v>
      </x:c>
    </x:row>
    <x:row r="10" ht="15" hidden="0" customHeight="1">
      <x:c r="A10" s="21" t="str">
        <x:v>NVIDIA</x:v>
      </x:c>
      <x:c r="B10" s="21" t="str">
        <x:v>Tesla V100 SXM2 32GB</x:v>
      </x:c>
      <x:c r="C10" s="21" t="str">
        <x:v>Volta</x:v>
      </x:c>
      <x:c r="D10" s="21" t="str">
        <x:v>SXM2 module</x:v>
      </x:c>
      <x:c r="E10" s="21" t="str">
        <x:v>HBM2</x:v>
      </x:c>
      <x:c r="F10" s="32" t="n">
        <x:v>32</x:v>
      </x:c>
      <x:c r="G10" s="29" t="n">
        <x:v>900</x:v>
      </x:c>
      <x:c r="H10" s="21" t="str">
        <x:v>SXM2 carrier</x:v>
      </x:c>
      <x:c r="I10" s="32"/>
      <x:c r="J10" s="21" t="str">
        <x:v>NVLink 2</x:v>
      </x:c>
      <x:c r="K10" s="29" t="n">
        <x:v>300</x:v>
      </x:c>
      <x:c r="L10" s="32" t="n">
        <x:v>300</x:v>
      </x:c>
      <x:c r="M10" s="26" t="n">
        <x:v>629</x:v>
      </x:c>
      <x:c r="N10" s="21" t="str">
        <x:v>Current used asking price</x:v>
      </x:c>
      <x:c r="O10" s="21" t="str">
        <x:v>Used; carrier required</x:v>
      </x:c>
      <x:c r="P10" s="35" t="d">
        <x:v>2026-10-18T00:00:00.000Z</x:v>
      </x:c>
      <x:c r="Q10" s="31" t="n">
        <x:f>IF(OR(F10="",F10=0),"",ROUNDUP(1024/F10,0))</x:f>
        <x:v>32</x:v>
      </x:c>
      <x:c r="R10" s="25" t="n">
        <x:f>IF(OR(M10="",M10=0,Q10=""),"",M10*Q10)</x:f>
        <x:v>20128</x:v>
      </x:c>
      <x:c r="S10" s="38" t="str">
        <x:v>https://www.ebay.com/sch/i.html?_nkw=tesla+v100+32gb+sxm2&amp;_sop=12</x:v>
      </x:c>
      <x:c r="T10" s="21" t="str">
        <x:v>Low module price hides the cost and complexity of an SXM2 carrier, cooling and power.</x:v>
      </x:c>
    </x:row>
    <x:row r="11" ht="15" hidden="0" customHeight="1">
      <x:c r="A11" s="23" t="str">
        <x:v>AMD</x:v>
      </x:c>
      <x:c r="B11" s="23" t="str">
        <x:v>Instinct MI50 32GB</x:v>
      </x:c>
      <x:c r="C11" s="23" t="str">
        <x:v>Vega 20</x:v>
      </x:c>
      <x:c r="D11" s="23" t="str">
        <x:v>PCIe passive</x:v>
      </x:c>
      <x:c r="E11" s="23" t="str">
        <x:v>HBM2</x:v>
      </x:c>
      <x:c r="F11" s="33" t="n">
        <x:v>32</x:v>
      </x:c>
      <x:c r="G11" s="30" t="n">
        <x:v>1000</x:v>
      </x:c>
      <x:c r="H11" s="23" t="str">
        <x:v>PCIe 4.0</x:v>
      </x:c>
      <x:c r="I11" s="33" t="n">
        <x:v>16</x:v>
      </x:c>
      <x:c r="J11" s="23" t="str">
        <x:v>Infinity Fabric links</x:v>
      </x:c>
      <x:c r="K11" s="30" t="n">
        <x:v>92</x:v>
      </x:c>
      <x:c r="L11" s="33" t="n">
        <x:v>300</x:v>
      </x:c>
      <x:c r="M11" s="27" t="n">
        <x:v>659</x:v>
      </x:c>
      <x:c r="N11" s="23" t="str">
        <x:v>Current used asking price</x:v>
      </x:c>
      <x:c r="O11" s="23" t="str">
        <x:v>Used; moderate supply</x:v>
      </x:c>
      <x:c r="P11" s="36" t="d">
        <x:v>2026-10-18T00:00:00.000Z</x:v>
      </x:c>
      <x:c r="Q11" s="31" t="n">
        <x:f>IF(OR(F11="",F11=0),"",ROUNDUP(1024/F11,0))</x:f>
        <x:v>32</x:v>
      </x:c>
      <x:c r="R11" s="25" t="n">
        <x:f>IF(OR(M11="",M11=0,Q11=""),"",M11*Q11)</x:f>
        <x:v>21088</x:v>
      </x:c>
      <x:c r="S11" s="39" t="str">
        <x:v>https://www.ebay.com/sch/i.html?_nkw=amd+instinct+mi50+32gb&amp;_sop=12</x:v>
      </x:c>
      <x:c r="T11" s="23" t="str">
        <x:v>ROCm support and firmware compatibility should be checked for the exact board revision.</x:v>
      </x:c>
    </x:row>
    <x:row r="12" ht="15" hidden="0" customHeight="1">
      <x:c r="A12" s="21" t="str">
        <x:v>AMD</x:v>
      </x:c>
      <x:c r="B12" s="21" t="str">
        <x:v>Instinct MI210 64GB</x:v>
      </x:c>
      <x:c r="C12" s="21" t="str">
        <x:v>CDNA 2</x:v>
      </x:c>
      <x:c r="D12" s="21" t="str">
        <x:v>PCIe passive</x:v>
      </x:c>
      <x:c r="E12" s="21" t="str">
        <x:v>HBM2e</x:v>
      </x:c>
      <x:c r="F12" s="32" t="n">
        <x:v>64</x:v>
      </x:c>
      <x:c r="G12" s="29" t="n">
        <x:v>1638</x:v>
      </x:c>
      <x:c r="H12" s="21" t="str">
        <x:v>PCIe 4.0</x:v>
      </x:c>
      <x:c r="I12" s="32" t="n">
        <x:v>16</x:v>
      </x:c>
      <x:c r="J12" s="21" t="str">
        <x:v>Infinity Fabric links</x:v>
      </x:c>
      <x:c r="K12" s="29"/>
      <x:c r="L12" s="32" t="n">
        <x:v>300</x:v>
      </x:c>
      <x:c r="M12" s="26" t="n">
        <x:v>3900</x:v>
      </x:c>
      <x:c r="N12" s="21" t="str">
        <x:v>Recent used asking price</x:v>
      </x:c>
      <x:c r="O12" s="21" t="str">
        <x:v>Used; limited supply</x:v>
      </x:c>
      <x:c r="P12" s="35" t="d">
        <x:v>2026-10-18T00:00:00.000Z</x:v>
      </x:c>
      <x:c r="Q12" s="31" t="n">
        <x:f>IF(OR(F12="",F12=0),"",ROUNDUP(1024/F12,0))</x:f>
        <x:v>16</x:v>
      </x:c>
      <x:c r="R12" s="25" t="n">
        <x:f>IF(OR(M12="",M12=0,Q12=""),"",M12*Q12)</x:f>
        <x:v>62400</x:v>
      </x:c>
      <x:c r="S12" s="38" t="str">
        <x:v>https://www.reddit.com/r/hardwareswap/comments/1wqzdd4/usatx_h_amd_instinct_mi210_64gb_hbm2_w_paypal/</x:v>
      </x:c>
      <x:c r="T12" s="21" t="str">
        <x:v>Fast and large, but current used pricing is much higher than MI50 or V100.</x:v>
      </x:c>
    </x:row>
    <x:row r="13" ht="15" hidden="0" customHeight="1">
      <x:c r="A13" s="23" t="str">
        <x:v>NVIDIA</x:v>
      </x:c>
      <x:c r="B13" s="23" t="str">
        <x:v>GeForce RTX 3090</x:v>
      </x:c>
      <x:c r="C13" s="23" t="str">
        <x:v>Ampere</x:v>
      </x:c>
      <x:c r="D13" s="23" t="str">
        <x:v>PCIe active</x:v>
      </x:c>
      <x:c r="E13" s="23" t="str">
        <x:v>GDDR6X</x:v>
      </x:c>
      <x:c r="F13" s="33" t="n">
        <x:v>24</x:v>
      </x:c>
      <x:c r="G13" s="30" t="n">
        <x:v>936.2</x:v>
      </x:c>
      <x:c r="H13" s="23" t="str">
        <x:v>PCIe 4.0</x:v>
      </x:c>
      <x:c r="I13" s="33" t="n">
        <x:v>16</x:v>
      </x:c>
      <x:c r="J13" s="23" t="str">
        <x:v>NVLink 3</x:v>
      </x:c>
      <x:c r="K13" s="30"/>
      <x:c r="L13" s="33" t="n">
        <x:v>350</x:v>
      </x:c>
      <x:c r="M13" s="27" t="n">
        <x:v>1000</x:v>
      </x:c>
      <x:c r="N13" s="23" t="str">
        <x:v>Recent used asking price</x:v>
      </x:c>
      <x:c r="O13" s="23" t="str">
        <x:v>Common used</x:v>
      </x:c>
      <x:c r="P13" s="36" t="d">
        <x:v>2026-10-18T00:00:00.000Z</x:v>
      </x:c>
      <x:c r="Q13" s="31" t="n">
        <x:f>IF(OR(F13="",F13=0),"",ROUNDUP(1024/F13,0))</x:f>
        <x:v>43</x:v>
      </x:c>
      <x:c r="R13" s="25" t="n">
        <x:f>IF(OR(M13="",M13=0,Q13=""),"",M13*Q13)</x:f>
        <x:v>43000</x:v>
      </x:c>
      <x:c r="S13" s="39" t="str">
        <x:v>https://www.nvidia.com/en-eu/geforce/graphics-cards/30-series/rtx-3090/</x:v>
      </x:c>
      <x:c r="T13" s="23" t="str">
        <x:v>Consumer cooling and display outputs make integration easier than passive data-center cards.</x:v>
      </x:c>
    </x:row>
    <x:row r="14" ht="15" hidden="0" customHeight="1">
      <x:c r="A14" s="21" t="str">
        <x:v>Intel</x:v>
      </x:c>
      <x:c r="B14" s="21" t="str">
        <x:v>Arc A770 16GB</x:v>
      </x:c>
      <x:c r="C14" s="21" t="str">
        <x:v>Xe HPG</x:v>
      </x:c>
      <x:c r="D14" s="21" t="str">
        <x:v>PCIe active</x:v>
      </x:c>
      <x:c r="E14" s="21" t="str">
        <x:v>GDDR6</x:v>
      </x:c>
      <x:c r="F14" s="32" t="n">
        <x:v>16</x:v>
      </x:c>
      <x:c r="G14" s="29" t="n">
        <x:v>560</x:v>
      </x:c>
      <x:c r="H14" s="21" t="str">
        <x:v>PCIe 4.0</x:v>
      </x:c>
      <x:c r="I14" s="32" t="n">
        <x:v>16</x:v>
      </x:c>
      <x:c r="J14" s="21" t="str">
        <x:v>None</x:v>
      </x:c>
      <x:c r="K14" s="29"/>
      <x:c r="L14" s="32" t="n">
        <x:v>225</x:v>
      </x:c>
      <x:c r="M14" s="26" t="n">
        <x:v>349</x:v>
      </x:c>
      <x:c r="N14" s="21" t="str">
        <x:v>Launch MSRP</x:v>
      </x:c>
      <x:c r="O14" s="21" t="str">
        <x:v>Retail and used</x:v>
      </x:c>
      <x:c r="P14" s="35" t="d">
        <x:v>2026-10-18T00:00:00.000Z</x:v>
      </x:c>
      <x:c r="Q14" s="31" t="n">
        <x:f>IF(OR(F14="",F14=0),"",ROUNDUP(1024/F14,0))</x:f>
        <x:v>64</x:v>
      </x:c>
      <x:c r="R14" s="25" t="n">
        <x:f>IF(OR(M14="",M14=0,Q14=""),"",M14*Q14)</x:f>
        <x:v>22336</x:v>
      </x:c>
      <x:c r="S14" s="38" t="str">
        <x:v>https://www.intel.com/content/www/us/en/products/sku/229151/intel-arc-a770-graphics-16gb/specifications.html</x:v>
      </x:c>
      <x:c r="T14" s="21" t="str">
        <x:v>Strong bandwidth for the price. Software support is workload-dependent.</x:v>
      </x:c>
    </x:row>
    <x:row r="15" ht="15" hidden="0" customHeight="1">
      <x:c r="A15" s="23" t="str">
        <x:v>AMD</x:v>
      </x:c>
      <x:c r="B15" s="23" t="str">
        <x:v>Radeon RX 6800</x:v>
      </x:c>
      <x:c r="C15" s="23" t="str">
        <x:v>RDNA 2</x:v>
      </x:c>
      <x:c r="D15" s="23" t="str">
        <x:v>PCIe active</x:v>
      </x:c>
      <x:c r="E15" s="23" t="str">
        <x:v>GDDR6</x:v>
      </x:c>
      <x:c r="F15" s="33" t="n">
        <x:v>16</x:v>
      </x:c>
      <x:c r="G15" s="30" t="n">
        <x:v>512</x:v>
      </x:c>
      <x:c r="H15" s="23" t="str">
        <x:v>PCIe 4.0</x:v>
      </x:c>
      <x:c r="I15" s="33" t="n">
        <x:v>16</x:v>
      </x:c>
      <x:c r="J15" s="23" t="str">
        <x:v>None</x:v>
      </x:c>
      <x:c r="K15" s="30"/>
      <x:c r="L15" s="33" t="n">
        <x:v>250</x:v>
      </x:c>
      <x:c r="M15" s="27" t="n">
        <x:v>579</x:v>
      </x:c>
      <x:c r="N15" s="23" t="str">
        <x:v>Launch MSRP</x:v>
      </x:c>
      <x:c r="O15" s="23" t="str">
        <x:v>Used; some retail stock</x:v>
      </x:c>
      <x:c r="P15" s="36" t="d">
        <x:v>2026-10-18T00:00:00.000Z</x:v>
      </x:c>
      <x:c r="Q15" s="31" t="n">
        <x:f>IF(OR(F15="",F15=0),"",ROUNDUP(1024/F15,0))</x:f>
        <x:v>64</x:v>
      </x:c>
      <x:c r="R15" s="25" t="n">
        <x:f>IF(OR(M15="",M15=0,Q15=""),"",M15*Q15)</x:f>
        <x:v>37056</x:v>
      </x:c>
      <x:c r="S15" s="39" t="str">
        <x:v>https://www.amd.com/en/products/graphics/desktops/radeon/6000-series/amd-radeon-rx-6800.html</x:v>
      </x:c>
      <x:c r="T15" s="23" t="str">
        <x:v>Infinity Cache does not increase raw external-memory bandwidth.</x:v>
      </x:c>
    </x:row>
    <x:row r="16" ht="15" hidden="0" customHeight="1">
      <x:c r="A16" s="21" t="str">
        <x:v>NVIDIA</x:v>
      </x:c>
      <x:c r="B16" s="21" t="str">
        <x:v>RTX PRO 6000 Blackwell</x:v>
      </x:c>
      <x:c r="C16" s="21" t="str">
        <x:v>Blackwell</x:v>
      </x:c>
      <x:c r="D16" s="21" t="str">
        <x:v>PCIe active</x:v>
      </x:c>
      <x:c r="E16" s="21" t="str">
        <x:v>GDDR7 ECC</x:v>
      </x:c>
      <x:c r="F16" s="32" t="n">
        <x:v>96</x:v>
      </x:c>
      <x:c r="G16" s="29" t="n">
        <x:v>1792</x:v>
      </x:c>
      <x:c r="H16" s="21" t="str">
        <x:v>PCIe 5.0</x:v>
      </x:c>
      <x:c r="I16" s="32" t="n">
        <x:v>16</x:v>
      </x:c>
      <x:c r="J16" s="21" t="str">
        <x:v>None</x:v>
      </x:c>
      <x:c r="K16" s="29"/>
      <x:c r="L16" s="32" t="n">
        <x:v>600</x:v>
      </x:c>
      <x:c r="M16" s="26" t="n">
        <x:v>13250</x:v>
      </x:c>
      <x:c r="N16" s="21" t="str">
        <x:v>Current official marketplace price</x:v>
      </x:c>
      <x:c r="O16" s="21" t="str">
        <x:v>Retail, expensive</x:v>
      </x:c>
      <x:c r="P16" s="35" t="d">
        <x:v>2026-10-18T00:00:00.000Z</x:v>
      </x:c>
      <x:c r="Q16" s="31" t="n">
        <x:f>IF(OR(F16="",F16=0),"",ROUNDUP(1024/F16,0))</x:f>
        <x:v>11</x:v>
      </x:c>
      <x:c r="R16" s="25" t="n">
        <x:f>IF(OR(M16="",M16=0,Q16=""),"",M16*Q16)</x:f>
        <x:v>145750</x:v>
      </x:c>
      <x:c r="S16" s="38" t="str">
        <x:v>https://marketplace.nvidia.com/en-us/enterprise/laptops-workstations/nvidia-rtx-pro-6000-blackwell-workstation-edition/</x:v>
      </x:c>
      <x:c r="T16" s="21" t="str">
        <x:v>High capacity in one conventional PCIe card. Current price reflects 2026 memory shortages.</x:v>
      </x:c>
    </x:row>
  </x:sheetData>
  <x:pageMargins left="0.7" right="0.7" top="0.75" bottom="0.75" header="0.3" footer="0.3"/>
  <x:tableParts count="1">
    <x:tablePart xmlns:r="http://schemas.openxmlformats.org/officeDocument/2006/relationships" r:id="Rb1e8223153d64cb9"/>
  </x:tableParts>
</x:worksheet>
</file>

<file path=xl/worksheets/sheet4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31" hidden="0" customWidth="1"/>
    <x:col min="3" max="3" width="25" hidden="0" customWidth="1"/>
    <x:col min="4" max="4" width="12.329999923706055" hidden="0" customWidth="1"/>
    <x:col min="5" max="5" width="11.5600004196167" hidden="0" customWidth="1"/>
    <x:col min="6" max="6" width="14.779999732971191" hidden="0" customWidth="1"/>
    <x:col min="7" max="7" width="13.220000267028809" hidden="0" customWidth="1"/>
    <x:col min="8" max="8" width="16.670000076293945" hidden="0" customWidth="1"/>
    <x:col min="9" max="9" width="28" hidden="0" customWidth="1"/>
    <x:col min="10" max="10" width="32" hidden="0" customWidth="1"/>
    <x:col min="11" max="11" width="12.220000267028809" hidden="0" customWidth="1"/>
    <x:col min="12" max="12" width="22" hidden="0" customWidth="1"/>
    <x:col min="13" max="13" width="24" hidden="0" customWidth="1"/>
    <x:col min="14" max="14" width="34" hidden="0" customWidth="1"/>
    <x:col min="15" max="15" width="7.559999942779541" hidden="0" customWidth="1"/>
    <x:col min="16" max="16" width="42" hidden="0" customWidth="1"/>
    <x:col min="17" max="17" width="54" hidden="0" customWidth="1"/>
  </x:cols>
  <x:sheetData>
    <x:row r="2">
      <x:c r="A2" s="1" t="str">
        <x:v>Mobile SoC database</x:v>
      </x:c>
    </x:row>
    <x:row r="3" ht="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18" customHeight="1">
      <x:c r="A4" s="24" t="str">
        <x:v>Chip prices are often unavailable because these parts are sold only to device manufacturers. Estimates are labeled.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</x:row>
    <x:row r="6" ht="32" hidden="0" customHeight="1">
      <x:c r="A6" s="16" t="str">
        <x:v>Vendor</x:v>
      </x:c>
      <x:c r="B6" s="17" t="str">
        <x:v>SoC</x:v>
      </x:c>
      <x:c r="C6" s="17" t="str">
        <x:v>CPU ISA / cores</x:v>
      </x:c>
      <x:c r="D6" s="17" t="str">
        <x:v>Memory type</x:v>
      </x:c>
      <x:c r="E6" s="17" t="str">
        <x:v>Bus width (bits)</x:v>
      </x:c>
      <x:c r="F6" s="17" t="str">
        <x:v>Max data rate (MT/s)</x:v>
      </x:c>
      <x:c r="G6" s="17" t="str">
        <x:v>Max memory (GB)</x:v>
      </x:c>
      <x:c r="H6" s="17" t="str">
        <x:v>Peak bandwidth (GB/s)</x:v>
      </x:c>
      <x:c r="I6" s="17" t="str">
        <x:v>PCIe / high-speed I/O</x:v>
      </x:c>
      <x:c r="J6" s="17" t="str">
        <x:v>Integrated compute</x:v>
      </x:c>
      <x:c r="K6" s="17" t="str">
        <x:v>Chip price (USD)</x:v>
      </x:c>
      <x:c r="L6" s="17" t="str">
        <x:v>Price basis</x:v>
      </x:c>
      <x:c r="M6" s="17" t="str">
        <x:v>Availability</x:v>
      </x:c>
      <x:c r="N6" s="17" t="str">
        <x:v>SoM / board options</x:v>
      </x:c>
      <x:c r="O6" s="17" t="str">
        <x:v>Price date</x:v>
      </x:c>
      <x:c r="P6" s="17" t="str">
        <x:v>Source</x:v>
      </x:c>
      <x:c r="Q6" s="18" t="str">
        <x:v>Notes</x:v>
      </x:c>
    </x:row>
    <x:row r="7" ht="15" hidden="0" customHeight="1">
      <x:c r="A7" s="22" t="str">
        <x:v>Apple</x:v>
      </x:c>
      <x:c r="B7" s="22" t="str">
        <x:v>M3 Ultra</x:v>
      </x:c>
      <x:c r="C7" s="22" t="str">
        <x:v>Arm64; 28 or 32 CPU cores</x:v>
      </x:c>
      <x:c r="D7" s="22" t="str">
        <x:v>Unified LPDDR5</x:v>
      </x:c>
      <x:c r="E7" s="31" t="n">
        <x:v>1024</x:v>
      </x:c>
      <x:c r="F7" s="31" t="n">
        <x:v>6400</x:v>
      </x:c>
      <x:c r="G7" s="31" t="n">
        <x:v>512</x:v>
      </x:c>
      <x:c r="H7" s="28" t="n">
        <x:v>819</x:v>
      </x:c>
      <x:c r="I7" s="22" t="str">
        <x:v>Thunderbolt 5 via system</x:v>
      </x:c>
      <x:c r="J7" s="22" t="str">
        <x:v>GPU up to 80 cores; 32-core Neural Engine</x:v>
      </x:c>
      <x:c r="K7" s="25"/>
      <x:c r="L7" s="22" t="str">
        <x:v>Not sold as a chip</x:v>
      </x:c>
      <x:c r="M7" s="22" t="str">
        <x:v>Mac Studio only; 512 GB config now scarce</x:v>
      </x:c>
      <x:c r="N7" s="22" t="str">
        <x:v>Mac Studio</x:v>
      </x:c>
      <x:c r="O7" s="34" t="d">
        <x:v>2026-10-18T00:00:00.000Z</x:v>
      </x:c>
      <x:c r="P7" s="37" t="str">
        <x:v>https://www.apple.com/newsroom/2025/03/apple-reveals-m3-ultra-taking-apple-silicon-to-a-new-extreme/</x:v>
      </x:c>
      <x:c r="Q7" s="22" t="str">
        <x:v>UltraFusion between two M3 Max dies is 2.5 TB/s and is separate from external memory bandwidth.</x:v>
      </x:c>
    </x:row>
    <x:row r="8" ht="15" hidden="0" customHeight="1">
      <x:c r="A8" s="21" t="str">
        <x:v>Apple</x:v>
      </x:c>
      <x:c r="B8" s="21" t="str">
        <x:v>M4 Max</x:v>
      </x:c>
      <x:c r="C8" s="21" t="str">
        <x:v>Arm64; up to 16 CPU cores</x:v>
      </x:c>
      <x:c r="D8" s="21" t="str">
        <x:v>Unified LPDDR5X</x:v>
      </x:c>
      <x:c r="E8" s="32"/>
      <x:c r="F8" s="32"/>
      <x:c r="G8" s="32" t="n">
        <x:v>128</x:v>
      </x:c>
      <x:c r="H8" s="29" t="n">
        <x:v>546</x:v>
      </x:c>
      <x:c r="I8" s="21" t="str">
        <x:v>Thunderbolt 5 via system</x:v>
      </x:c>
      <x:c r="J8" s="21" t="str">
        <x:v>GPU up to 40 cores; Neural Engine</x:v>
      </x:c>
      <x:c r="K8" s="26"/>
      <x:c r="L8" s="21" t="str">
        <x:v>Not sold as a chip</x:v>
      </x:c>
      <x:c r="M8" s="21" t="str">
        <x:v>Apple systems only</x:v>
      </x:c>
      <x:c r="N8" s="21" t="str">
        <x:v>MacBook Pro</x:v>
      </x:c>
      <x:c r="O8" s="35" t="d">
        <x:v>2026-10-18T00:00:00.000Z</x:v>
      </x:c>
      <x:c r="P8" s="38" t="str">
        <x:v>https://www.apple.com/newsroom/2024/10/apple-introduces-m4-pro-and-m4-max/</x:v>
      </x:c>
      <x:c r="Q8" s="21" t="str">
        <x:v>No standalone SoM or custom-board access.</x:v>
      </x:c>
    </x:row>
    <x:row r="9" ht="15" hidden="0" customHeight="1">
      <x:c r="A9" s="23" t="str">
        <x:v>Qualcomm</x:v>
      </x:c>
      <x:c r="B9" s="23" t="str">
        <x:v>Snapdragon X2 Elite Extreme X2E-96-100</x:v>
      </x:c>
      <x:c r="C9" s="23" t="str">
        <x:v>Arm64 Oryon; 18 cores</x:v>
      </x:c>
      <x:c r="D9" s="23" t="str">
        <x:v>LPDDR5X-9523</x:v>
      </x:c>
      <x:c r="E9" s="33" t="n">
        <x:v>192</x:v>
      </x:c>
      <x:c r="F9" s="33" t="n">
        <x:v>9523</x:v>
      </x:c>
      <x:c r="G9" s="33" t="n">
        <x:v>128</x:v>
      </x:c>
      <x:c r="H9" s="30" t="n">
        <x:v>228</x:v>
      </x:c>
      <x:c r="I9" s="23" t="str">
        <x:v>Platform-specific PCIe and USB4</x:v>
      </x:c>
      <x:c r="J9" s="23" t="str">
        <x:v>Adreno GPU; 80 TOPS NPU</x:v>
      </x:c>
      <x:c r="K9" s="27"/>
      <x:c r="L9" s="23" t="str">
        <x:v>OEM only</x:v>
      </x:c>
      <x:c r="M9" s="23" t="str">
        <x:v>Large OEMs</x:v>
      </x:c>
      <x:c r="N9" s="23" t="str">
        <x:v>Laptop motherboards</x:v>
      </x:c>
      <x:c r="O9" s="36" t="d">
        <x:v>2026-10-18T00:00:00.000Z</x:v>
      </x:c>
      <x:c r="P9" s="39" t="str">
        <x:v>https://www.qualcomm.com/content/dam/qcomm-martech/dm-assets/documents/Snapdragon-X2-Elite-Product-Brief.pdf</x:v>
      </x:c>
      <x:c r="Q9" s="23" t="str">
        <x:v>Qualcomm states 128+ GB for the Extreme variant. No chip-level retail channel.</x:v>
      </x:c>
    </x:row>
    <x:row r="10" ht="15" hidden="0" customHeight="1">
      <x:c r="A10" s="21" t="str">
        <x:v>Qualcomm</x:v>
      </x:c>
      <x:c r="B10" s="21" t="str">
        <x:v>Snapdragon X Elite X1E-84-100</x:v>
      </x:c>
      <x:c r="C10" s="21" t="str">
        <x:v>Arm64 Oryon; 12 cores</x:v>
      </x:c>
      <x:c r="D10" s="21" t="str">
        <x:v>LPDDR5X-8448</x:v>
      </x:c>
      <x:c r="E10" s="32" t="n">
        <x:v>128</x:v>
      </x:c>
      <x:c r="F10" s="32" t="n">
        <x:v>8448</x:v>
      </x:c>
      <x:c r="G10" s="32" t="n">
        <x:v>64</x:v>
      </x:c>
      <x:c r="H10" s="29" t="n">
        <x:v>135</x:v>
      </x:c>
      <x:c r="I10" s="21" t="str">
        <x:v>Platform-specific PCIe and USB4</x:v>
      </x:c>
      <x:c r="J10" s="21" t="str">
        <x:v>Adreno GPU; 45 TOPS NPU</x:v>
      </x:c>
      <x:c r="K10" s="26"/>
      <x:c r="L10" s="21" t="str">
        <x:v>OEM only</x:v>
      </x:c>
      <x:c r="M10" s="21" t="str">
        <x:v>Large OEMs</x:v>
      </x:c>
      <x:c r="N10" s="21" t="str">
        <x:v>Laptops; limited embedded modules</x:v>
      </x:c>
      <x:c r="O10" s="35" t="d">
        <x:v>2026-10-18T00:00:00.000Z</x:v>
      </x:c>
      <x:c r="P10" s="38" t="str">
        <x:v>https://www.qualcomm.com/content/dam/qcomm-martech/dm-assets/documents/Product-Brief-Snapdragon-X-Elite.pdf</x:v>
      </x:c>
      <x:c r="Q10" s="21" t="str">
        <x:v>Maximum installed capacity depends on the OEM design.</x:v>
      </x:c>
    </x:row>
    <x:row r="11" ht="15" hidden="0" customHeight="1">
      <x:c r="A11" s="23" t="str">
        <x:v>CIX</x:v>
      </x:c>
      <x:c r="B11" s="23" t="str">
        <x:v>P1 / CD8180</x:v>
      </x:c>
      <x:c r="C11" s="23" t="str">
        <x:v>Armv9.2; 12 cores</x:v>
      </x:c>
      <x:c r="D11" s="23" t="str">
        <x:v>LPDDR5-5500</x:v>
      </x:c>
      <x:c r="E11" s="33" t="n">
        <x:v>128</x:v>
      </x:c>
      <x:c r="F11" s="33" t="n">
        <x:v>5500</x:v>
      </x:c>
      <x:c r="G11" s="33" t="n">
        <x:v>64</x:v>
      </x:c>
      <x:c r="H11" s="30" t="n">
        <x:v>100</x:v>
      </x:c>
      <x:c r="I11" s="23" t="str">
        <x:v>PCIe 4.0; board-dependent</x:v>
      </x:c>
      <x:c r="J11" s="23" t="str">
        <x:v>Immortalis-G720 MC10; 30 TOPS NPU</x:v>
      </x:c>
      <x:c r="K11" s="27"/>
      <x:c r="L11" s="23" t="str">
        <x:v>OEM and board partners</x:v>
      </x:c>
      <x:c r="M11" s="23" t="str">
        <x:v>Boards available; chip quote</x:v>
      </x:c>
      <x:c r="N11" s="23" t="str">
        <x:v>Radxa Orion O6/O6N; Orange Pi 6 Plus</x:v>
      </x:c>
      <x:c r="O11" s="36" t="d">
        <x:v>2026-10-18T00:00:00.000Z</x:v>
      </x:c>
      <x:c r="P11" s="39" t="str">
        <x:v>https://radxa.com/products/orion/o6/</x:v>
      </x:c>
      <x:c r="Q11" s="23" t="str">
        <x:v>The 100 GB/s figure is the vendor platform specification.</x:v>
      </x:c>
    </x:row>
    <x:row r="12" ht="15" hidden="0" customHeight="1">
      <x:c r="A12" s="21" t="str">
        <x:v>NVIDIA</x:v>
      </x:c>
      <x:c r="B12" s="21" t="str">
        <x:v>Jetson AGX Orin</x:v>
      </x:c>
      <x:c r="C12" s="21" t="str">
        <x:v>Arm64; 12 Cortex-A78AE</x:v>
      </x:c>
      <x:c r="D12" s="21" t="str">
        <x:v>LPDDR5</x:v>
      </x:c>
      <x:c r="E12" s="32" t="n">
        <x:v>256</x:v>
      </x:c>
      <x:c r="F12" s="32" t="n">
        <x:v>6400</x:v>
      </x:c>
      <x:c r="G12" s="32" t="n">
        <x:v>64</x:v>
      </x:c>
      <x:c r="H12" s="29" t="n">
        <x:v>204.8</x:v>
      </x:c>
      <x:c r="I12" s="21" t="str">
        <x:v>PCIe 4.0; 22 lanes</x:v>
      </x:c>
      <x:c r="J12" s="21" t="str">
        <x:v>Ampere GPU; DLA</x:v>
      </x:c>
      <x:c r="K12" s="26"/>
      <x:c r="L12" s="21" t="str">
        <x:v>Module or developer kit</x:v>
      </x:c>
      <x:c r="M12" s="21" t="str">
        <x:v>Available through partners</x:v>
      </x:c>
      <x:c r="N12" s="21" t="str">
        <x:v>Jetson AGX Orin module</x:v>
      </x:c>
      <x:c r="O12" s="35" t="d">
        <x:v>2026-10-18T00:00:00.000Z</x:v>
      </x:c>
      <x:c r="P12" s="38" t="str">
        <x:v>https://www.nvidia.com/en-gb/autonomous-machines/embedded-systems/jetson-orin/</x:v>
      </x:c>
      <x:c r="Q12" s="21" t="str">
        <x:v>Module is the practical procurement unit; the SoC is not sold standalone.</x:v>
      </x:c>
    </x:row>
    <x:row r="13" ht="15" hidden="0" customHeight="1">
      <x:c r="A13" s="23" t="str">
        <x:v>Rockchip</x:v>
      </x:c>
      <x:c r="B13" s="23" t="str">
        <x:v>RK3588</x:v>
      </x:c>
      <x:c r="C13" s="23" t="str">
        <x:v>Armv8.2; 4x A76 + 4x A55</x:v>
      </x:c>
      <x:c r="D13" s="23" t="str">
        <x:v>LPDDR4/4X/5</x:v>
      </x:c>
      <x:c r="E13" s="33" t="n">
        <x:v>64</x:v>
      </x:c>
      <x:c r="F13" s="33" t="n">
        <x:v>5500</x:v>
      </x:c>
      <x:c r="G13" s="33" t="n">
        <x:v>32</x:v>
      </x:c>
      <x:c r="H13" s="30" t="n">
        <x:v>44</x:v>
      </x:c>
      <x:c r="I13" s="23" t="str">
        <x:v>PCIe 3.0 x4 plus PCIe 2.1</x:v>
      </x:c>
      <x:c r="J13" s="23" t="str">
        <x:v>Mali-G610 MP4; 6 TOPS NPU</x:v>
      </x:c>
      <x:c r="K13" s="27"/>
      <x:c r="L13" s="23" t="str">
        <x:v>OEM or module volume quote</x:v>
      </x:c>
      <x:c r="M13" s="23" t="str">
        <x:v>Broad board/module supply</x:v>
      </x:c>
      <x:c r="N13" s="23" t="str">
        <x:v>Mixtile, Radxa, Orange Pi and others</x:v>
      </x:c>
      <x:c r="O13" s="36" t="d">
        <x:v>2026-10-18T00:00:00.000Z</x:v>
      </x:c>
      <x:c r="P13" s="39" t="str">
        <x:v>https://rock-chip.com/socs/rk3588</x:v>
      </x:c>
      <x:c r="Q13" s="23" t="str">
        <x:v>44 GB/s is theoretical for a 64-bit LPDDR5-5500 implementation; many modules use slower LPDDR4X.</x:v>
      </x:c>
    </x:row>
    <x:row r="14" ht="15" hidden="0" customHeight="1">
      <x:c r="A14" s="21" t="str">
        <x:v>SpacemiT</x:v>
      </x:c>
      <x:c r="B14" s="21" t="str">
        <x:v>M1 / K1</x:v>
      </x:c>
      <x:c r="C14" s="21" t="str">
        <x:v>RISC-V RVA22; 8 cores</x:v>
      </x:c>
      <x:c r="D14" s="21" t="str">
        <x:v>LPDDR4X</x:v>
      </x:c>
      <x:c r="E14" s="32" t="n">
        <x:v>64</x:v>
      </x:c>
      <x:c r="F14" s="32" t="n">
        <x:v>4266</x:v>
      </x:c>
      <x:c r="G14" s="32" t="n">
        <x:v>16</x:v>
      </x:c>
      <x:c r="H14" s="29" t="n">
        <x:v>34.1</x:v>
      </x:c>
      <x:c r="I14" s="21" t="str">
        <x:v>PCIe 2.1 x2</x:v>
      </x:c>
      <x:c r="J14" s="21" t="str">
        <x:v>Integrated GPU and NPU</x:v>
      </x:c>
      <x:c r="K14" s="26"/>
      <x:c r="L14" s="21" t="str">
        <x:v>OEM or module quote</x:v>
      </x:c>
      <x:c r="M14" s="21" t="str">
        <x:v>Boards and modules available</x:v>
      </x:c>
      <x:c r="N14" s="21" t="str">
        <x:v>Milk-V Jupiter and Jupiter NX</x:v>
      </x:c>
      <x:c r="O14" s="35" t="d">
        <x:v>2026-10-18T00:00:00.000Z</x:v>
      </x:c>
      <x:c r="P14" s="38" t="str">
        <x:v>https://milkv.io/jupiter-nx</x:v>
      </x:c>
      <x:c r="Q14" s="21" t="str">
        <x:v>Bandwidth is theoretical from a 64-bit LPDDR4X-4266 interface.</x:v>
      </x:c>
    </x:row>
    <x:row r="15" ht="15" hidden="0" customHeight="1">
      <x:c r="A15" s="23" t="str">
        <x:v>MediaTek</x:v>
      </x:c>
      <x:c r="B15" s="23" t="str">
        <x:v>Dimensity 9500</x:v>
      </x:c>
      <x:c r="C15" s="23" t="str">
        <x:v>Armv9.3; 8 cores</x:v>
      </x:c>
      <x:c r="D15" s="23" t="str">
        <x:v>LPDDR5X-10667</x:v>
      </x:c>
      <x:c r="E15" s="33" t="n">
        <x:v>64</x:v>
      </x:c>
      <x:c r="F15" s="33" t="n">
        <x:v>10667</x:v>
      </x:c>
      <x:c r="G15" s="33"/>
      <x:c r="H15" s="30" t="n">
        <x:v>85.3</x:v>
      </x:c>
      <x:c r="I15" s="23" t="str">
        <x:v>Smartphone platform I/O</x:v>
      </x:c>
      <x:c r="J15" s="23" t="str">
        <x:v>Mali-G1 Ultra MC12; NPU 990</x:v>
      </x:c>
      <x:c r="K15" s="27"/>
      <x:c r="L15" s="23" t="str">
        <x:v>OEM only</x:v>
      </x:c>
      <x:c r="M15" s="23" t="str">
        <x:v>Phone manufacturers</x:v>
      </x:c>
      <x:c r="N15" s="23" t="str">
        <x:v>No public SoM</x:v>
      </x:c>
      <x:c r="O15" s="36" t="d">
        <x:v>2026-10-18T00:00:00.000Z</x:v>
      </x:c>
      <x:c r="P15" s="39" t="str">
        <x:v>https://www.mediatek.com/products/smartphones/mediatek-dimensity-9500</x:v>
      </x:c>
      <x:c r="Q15" s="23" t="str">
        <x:v>Maximum capacity is not publicly specified. Bandwidth assumes a 64-bit interface.</x:v>
      </x:c>
    </x:row>
    <x:row r="16" ht="15" hidden="0" customHeight="1">
      <x:c r="A16" s="21" t="str">
        <x:v>Samsung</x:v>
      </x:c>
      <x:c r="B16" s="21" t="str">
        <x:v>Exynos 2600</x:v>
      </x:c>
      <x:c r="C16" s="21" t="str">
        <x:v>Armv9.3; 10 cores</x:v>
      </x:c>
      <x:c r="D16" s="21" t="str">
        <x:v>LPDDR5X</x:v>
      </x:c>
      <x:c r="E16" s="32"/>
      <x:c r="F16" s="32"/>
      <x:c r="G16" s="32"/>
      <x:c r="H16" s="29"/>
      <x:c r="I16" s="21" t="str">
        <x:v>Smartphone platform I/O</x:v>
      </x:c>
      <x:c r="J16" s="21" t="str">
        <x:v>Xclipse 960 GPU; NPU</x:v>
      </x:c>
      <x:c r="K16" s="26"/>
      <x:c r="L16" s="21" t="str">
        <x:v>OEM only</x:v>
      </x:c>
      <x:c r="M16" s="21" t="str">
        <x:v>Samsung mobile products</x:v>
      </x:c>
      <x:c r="N16" s="21" t="str">
        <x:v>No public SoM</x:v>
      </x:c>
      <x:c r="O16" s="35" t="d">
        <x:v>2026-10-18T00:00:00.000Z</x:v>
      </x:c>
      <x:c r="P16" s="38" t="str">
        <x:v>https://semiconductor.samsung.com/processor/mobile-processor/exynos-2600/</x:v>
      </x:c>
      <x:c r="Q16" s="21" t="str">
        <x:v>Samsung does not publish the memory bus width, capacity ceiling or peak bandwidth on the public product page.</x:v>
      </x:c>
    </x:row>
  </x:sheetData>
  <x:pageMargins left="0.7" right="0.7" top="0.75" bottom="0.75" header="0.3" footer="0.3"/>
  <x:tableParts count="1">
    <x:tablePart xmlns:r="http://schemas.openxmlformats.org/officeDocument/2006/relationships" r:id="R2332afe8f90141f2"/>
  </x:tableParts>
</x:worksheet>
</file>

<file path=xl/worksheets/sheet5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25" hidden="0" customWidth="1"/>
    <x:col min="4" max="4" width="28" hidden="0" customWidth="1"/>
    <x:col min="5" max="5" width="11.109999656677246" hidden="0" customWidth="1"/>
    <x:col min="6" max="6" width="13.220000267028809" hidden="0" customWidth="1"/>
    <x:col min="7" max="7" width="16.670000076293945" hidden="0" customWidth="1"/>
    <x:col min="8" max="8" width="31" hidden="0" customWidth="1"/>
    <x:col min="9" max="9" width="27" hidden="0" customWidth="1"/>
    <x:col min="10" max="10" width="7.78000020980835" hidden="0" customWidth="1"/>
    <x:col min="11" max="11" width="8.670000076293945" hidden="0" customWidth="1"/>
    <x:col min="12" max="12" width="24" hidden="0" customWidth="1"/>
    <x:col min="13" max="13" width="25" hidden="0" customWidth="1"/>
    <x:col min="14" max="14" width="7.559999942779541" hidden="0" customWidth="1"/>
    <x:col min="15" max="15" width="11.4399995803833" hidden="0" customWidth="1"/>
    <x:col min="16" max="16" width="17.780000686645508" hidden="0" customWidth="1"/>
    <x:col min="17" max="17" width="42" hidden="0" customWidth="1"/>
    <x:col min="18" max="18" width="58" hidden="0" customWidth="1"/>
  </x:cols>
  <x:sheetData>
    <x:row r="2">
      <x:c r="A2" s="1" t="str">
        <x:v>System-on-module database</x:v>
      </x:c>
    </x:row>
    <x:row r="3" ht="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18" customHeight="1">
      <x:c r="A4" s="24" t="str">
        <x:v>One-TiB figures count modules only. Carrier boards, cooling, storage, networking and power are excluded.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</x:row>
    <x:row r="6" ht="32" hidden="0" customHeight="1">
      <x:c r="A6" s="16" t="str">
        <x:v>Vendor</x:v>
      </x:c>
      <x:c r="B6" s="17" t="str">
        <x:v>Module</x:v>
      </x:c>
      <x:c r="C6" s="17" t="str">
        <x:v>SoC</x:v>
      </x:c>
      <x:c r="D6" s="17" t="str">
        <x:v>Form factor / pinout</x:v>
      </x:c>
      <x:c r="E6" s="17" t="str">
        <x:v>Memory type</x:v>
      </x:c>
      <x:c r="F6" s="17" t="str">
        <x:v>Max memory (GB)</x:v>
      </x:c>
      <x:c r="G6" s="17" t="str">
        <x:v>Peak bandwidth (GB/s)</x:v>
      </x:c>
      <x:c r="H6" s="17" t="str">
        <x:v>PCIe</x:v>
      </x:c>
      <x:c r="I6" s="17" t="str">
        <x:v>Network</x:v>
      </x:c>
      <x:c r="J6" s="17" t="str">
        <x:v>Power (W)</x:v>
      </x:c>
      <x:c r="K6" s="17" t="str">
        <x:v>Price (USD)</x:v>
      </x:c>
      <x:c r="L6" s="17" t="str">
        <x:v>Price basis</x:v>
      </x:c>
      <x:c r="M6" s="17" t="str">
        <x:v>Availability</x:v>
      </x:c>
      <x:c r="N6" s="17" t="str">
        <x:v>Price date</x:v>
      </x:c>
      <x:c r="O6" s="17" t="str">
        <x:v>Nodes for 1 TiB</x:v>
      </x:c>
      <x:c r="P6" s="17" t="str">
        <x:v>1 TiB module cost (USD)</x:v>
      </x:c>
      <x:c r="Q6" s="17" t="str">
        <x:v>Source</x:v>
      </x:c>
      <x:c r="R6" s="18" t="str">
        <x:v>Notes</x:v>
      </x:c>
    </x:row>
    <x:row r="7" ht="15" hidden="0" customHeight="1">
      <x:c r="A7" s="22" t="str">
        <x:v>Milk-V</x:v>
      </x:c>
      <x:c r="B7" s="22" t="str">
        <x:v>Jupiter NX</x:v>
      </x:c>
      <x:c r="C7" s="22" t="str">
        <x:v>SpacemiT M1</x:v>
      </x:c>
      <x:c r="D7" s="22" t="str">
        <x:v>Jetson-compatible 260-pin</x:v>
      </x:c>
      <x:c r="E7" s="22" t="str">
        <x:v>LPDDR4X</x:v>
      </x:c>
      <x:c r="F7" s="31" t="n">
        <x:v>16</x:v>
      </x:c>
      <x:c r="G7" s="28" t="n">
        <x:v>34.1</x:v>
      </x:c>
      <x:c r="H7" s="22" t="str">
        <x:v>PCIe 2.1 x2</x:v>
      </x:c>
      <x:c r="I7" s="22" t="str">
        <x:v>Carrier-dependent; usually 1GbE</x:v>
      </x:c>
      <x:c r="J7" s="31"/>
      <x:c r="K7" s="25" t="n">
        <x:v>109.9</x:v>
      </x:c>
      <x:c r="L7" s="22" t="str">
        <x:v>Retail listing</x:v>
      </x:c>
      <x:c r="M7" s="22" t="str">
        <x:v>Retail listing; stock varies</x:v>
      </x:c>
      <x:c r="N7" s="34" t="d">
        <x:v>2026-10-18T00:00:00.000Z</x:v>
      </x:c>
      <x:c r="O7" s="31" t="n">
        <x:f>IF(OR(F7="",F7=0),"",ROUNDUP(1024/F7,0))</x:f>
        <x:v>64</x:v>
      </x:c>
      <x:c r="P7" s="25" t="n">
        <x:f>IF(OR(K7="",K7=0,O7=""),"",K7*O7)</x:f>
        <x:v>7033.6</x:v>
      </x:c>
      <x:c r="Q7" s="37" t="str">
        <x:v>https://arace.tech/products/milk-v-jupiter-nx?variant=43904659718324</x:v>
      </x:c>
      <x:c r="R7" s="22" t="str">
        <x:v>Lowest-cost module in this table, but bandwidth and host I/O are modest.</x:v>
      </x:c>
    </x:row>
    <x:row r="8" ht="15" hidden="0" customHeight="1">
      <x:c r="A8" s="21" t="str">
        <x:v>Mixtile</x:v>
      </x:c>
      <x:c r="B8" s="21" t="str">
        <x:v>Core 3588E</x:v>
      </x:c>
      <x:c r="C8" s="21" t="str">
        <x:v>Rockchip RK3588</x:v>
      </x:c>
      <x:c r="D8" s="21" t="str">
        <x:v>Jetson TX2 NX-compatible 260-pin</x:v>
      </x:c>
      <x:c r="E8" s="21" t="str">
        <x:v>LPDDR4</x:v>
      </x:c>
      <x:c r="F8" s="32" t="n">
        <x:v>32</x:v>
      </x:c>
      <x:c r="G8" s="29" t="n">
        <x:v>34.1</x:v>
      </x:c>
      <x:c r="H8" s="21" t="str">
        <x:v>PCIe 3.0 x4 + 2.1 x1</x:v>
      </x:c>
      <x:c r="I8" s="21" t="str">
        <x:v>1GbE</x:v>
      </x:c>
      <x:c r="J8" s="32"/>
      <x:c r="K8" s="26" t="n">
        <x:v>338</x:v>
      </x:c>
      <x:c r="L8" s="21" t="str">
        <x:v>Vendor store maximum variant</x:v>
      </x:c>
      <x:c r="M8" s="21" t="str">
        <x:v>Out of stock at vendor store</x:v>
      </x:c>
      <x:c r="N8" s="35" t="d">
        <x:v>2026-10-18T00:00:00.000Z</x:v>
      </x:c>
      <x:c r="O8" s="31" t="n">
        <x:f>IF(OR(F8="",F8=0),"",ROUNDUP(1024/F8,0))</x:f>
        <x:v>32</x:v>
      </x:c>
      <x:c r="P8" s="25" t="n">
        <x:f>IF(OR(K8="",K8=0,O8=""),"",K8*O8)</x:f>
        <x:v>10816</x:v>
      </x:c>
      <x:c r="Q8" s="38" t="str">
        <x:v>https://www.mixtile.com/store/</x:v>
      </x:c>
      <x:c r="R8" s="21" t="str">
        <x:v>Pin-compatible claims have carrier-board exceptions. Check every high-speed pin before reusing a carrier.</x:v>
      </x:c>
    </x:row>
    <x:row r="9" ht="15" hidden="0" customHeight="1">
      <x:c r="A9" s="23" t="str">
        <x:v>NVIDIA</x:v>
      </x:c>
      <x:c r="B9" s="23" t="str">
        <x:v>Jetson Xavier NX 16GB</x:v>
      </x:c>
      <x:c r="C9" s="23" t="str">
        <x:v>Xavier</x:v>
      </x:c>
      <x:c r="D9" s="23" t="str">
        <x:v>Jetson SO-DIMM</x:v>
      </x:c>
      <x:c r="E9" s="23" t="str">
        <x:v>LPDDR4X</x:v>
      </x:c>
      <x:c r="F9" s="33" t="n">
        <x:v>16</x:v>
      </x:c>
      <x:c r="G9" s="30" t="n">
        <x:v>59.7</x:v>
      </x:c>
      <x:c r="H9" s="23" t="str">
        <x:v>PCIe Gen4; module-dependent lanes</x:v>
      </x:c>
      <x:c r="I9" s="23" t="str">
        <x:v>Carrier-dependent</x:v>
      </x:c>
      <x:c r="J9" s="33" t="n">
        <x:v>20</x:v>
      </x:c>
      <x:c r="K9" s="27" t="n">
        <x:v>250</x:v>
      </x:c>
      <x:c r="L9" s="23" t="str">
        <x:v>Typical used estimate</x:v>
      </x:c>
      <x:c r="M9" s="23" t="str">
        <x:v>Used market</x:v>
      </x:c>
      <x:c r="N9" s="36" t="d">
        <x:v>2026-10-18T00:00:00.000Z</x:v>
      </x:c>
      <x:c r="O9" s="31" t="n">
        <x:f>IF(OR(F9="",F9=0),"",ROUNDUP(1024/F9,0))</x:f>
        <x:v>64</x:v>
      </x:c>
      <x:c r="P9" s="25" t="n">
        <x:f>IF(OR(K9="",K9=0,O9=""),"",K9*O9)</x:f>
        <x:v>16000</x:v>
      </x:c>
      <x:c r="Q9" s="39" t="str">
        <x:v>https://www.nvidia.com/en-us/autonomous-machines/embedded-systems/jetson-xavier-nx/</x:v>
      </x:c>
      <x:c r="R9" s="23" t="str">
        <x:v>Old but mature. Used modules may have unknown flash wear and thermal history.</x:v>
      </x:c>
    </x:row>
    <x:row r="10" ht="15" hidden="0" customHeight="1">
      <x:c r="A10" s="21" t="str">
        <x:v>NVIDIA</x:v>
      </x:c>
      <x:c r="B10" s="21" t="str">
        <x:v>Jetson Orin NX 16GB</x:v>
      </x:c>
      <x:c r="C10" s="21" t="str">
        <x:v>Orin</x:v>
      </x:c>
      <x:c r="D10" s="21" t="str">
        <x:v>Jetson SO-DIMM</x:v>
      </x:c>
      <x:c r="E10" s="21" t="str">
        <x:v>LPDDR5</x:v>
      </x:c>
      <x:c r="F10" s="32" t="n">
        <x:v>16</x:v>
      </x:c>
      <x:c r="G10" s="29" t="n">
        <x:v>102.4</x:v>
      </x:c>
      <x:c r="H10" s="21" t="str">
        <x:v>Up to seven PCIe lanes</x:v>
      </x:c>
      <x:c r="I10" s="21" t="str">
        <x:v>Carrier-dependent</x:v>
      </x:c>
      <x:c r="J10" s="32" t="n">
        <x:v>40</x:v>
      </x:c>
      <x:c r="K10" s="26" t="n">
        <x:v>999</x:v>
      </x:c>
      <x:c r="L10" s="21" t="str">
        <x:v>1KU module price</x:v>
      </x:c>
      <x:c r="M10" s="21" t="str">
        <x:v>Available through partners</x:v>
      </x:c>
      <x:c r="N10" s="35" t="d">
        <x:v>2026-10-18T00:00:00.000Z</x:v>
      </x:c>
      <x:c r="O10" s="31" t="n">
        <x:f>IF(OR(F10="",F10=0),"",ROUNDUP(1024/F10,0))</x:f>
        <x:v>64</x:v>
      </x:c>
      <x:c r="P10" s="25" t="n">
        <x:f>IF(OR(K10="",K10=0,O10=""),"",K10*O10)</x:f>
        <x:v>63936</x:v>
      </x:c>
      <x:c r="Q10" s="38" t="str">
        <x:v>https://developer.nvidia.com/embedded/faq</x:v>
      </x:c>
      <x:c r="R10" s="21" t="str">
        <x:v>Good compute and software support, but expensive per GB for a memory-capacity cluster.</x:v>
      </x:c>
    </x:row>
    <x:row r="11" ht="15" hidden="0" customHeight="1">
      <x:c r="A11" s="23" t="str">
        <x:v>NVIDIA</x:v>
      </x:c>
      <x:c r="B11" s="23" t="str">
        <x:v>Jetson AGX Orin 64GB</x:v>
      </x:c>
      <x:c r="C11" s="23" t="str">
        <x:v>Orin</x:v>
      </x:c>
      <x:c r="D11" s="23" t="str">
        <x:v>699-pin board-to-board</x:v>
      </x:c>
      <x:c r="E11" s="23" t="str">
        <x:v>LPDDR5</x:v>
      </x:c>
      <x:c r="F11" s="33" t="n">
        <x:v>64</x:v>
      </x:c>
      <x:c r="G11" s="30" t="n">
        <x:v>204.8</x:v>
      </x:c>
      <x:c r="H11" s="23" t="str">
        <x:v>PCIe 4.0; 22 lanes</x:v>
      </x:c>
      <x:c r="I11" s="23" t="str">
        <x:v>Carrier-dependent</x:v>
      </x:c>
      <x:c r="J11" s="33" t="n">
        <x:v>60</x:v>
      </x:c>
      <x:c r="K11" s="27" t="n">
        <x:v>3499</x:v>
      </x:c>
      <x:c r="L11" s="23" t="str">
        <x:v>Developer-kit price</x:v>
      </x:c>
      <x:c r="M11" s="23" t="str">
        <x:v>Available through partners</x:v>
      </x:c>
      <x:c r="N11" s="36" t="d">
        <x:v>2026-10-18T00:00:00.000Z</x:v>
      </x:c>
      <x:c r="O11" s="31" t="n">
        <x:f>IF(OR(F11="",F11=0),"",ROUNDUP(1024/F11,0))</x:f>
        <x:v>16</x:v>
      </x:c>
      <x:c r="P11" s="25" t="n">
        <x:f>IF(OR(K11="",K11=0,O11=""),"",K11*O11)</x:f>
        <x:v>55984</x:v>
      </x:c>
      <x:c r="Q11" s="39" t="str">
        <x:v>https://developer.nvidia.com/embedded/faq</x:v>
      </x:c>
      <x:c r="R11" s="23" t="str">
        <x:v>Price is for the developer kit, not a bare module.</x:v>
      </x:c>
    </x:row>
    <x:row r="12" ht="15" hidden="0" customHeight="1">
      <x:c r="A12" s="21" t="str">
        <x:v>TRIA</x:v>
      </x:c>
      <x:c r="B12" s="21" t="str">
        <x:v>HMM-IQX</x:v>
      </x:c>
      <x:c r="C12" s="21" t="str">
        <x:v>Qualcomm Dragonwing IQ-X</x:v>
      </x:c>
      <x:c r="D12" s="21" t="str">
        <x:v>COM-HPC Mini</x:v>
      </x:c>
      <x:c r="E12" s="21" t="str">
        <x:v>LPDDR5X-8448</x:v>
      </x:c>
      <x:c r="F12" s="32" t="n">
        <x:v>64</x:v>
      </x:c>
      <x:c r="G12" s="29" t="n">
        <x:v>135.2</x:v>
      </x:c>
      <x:c r="H12" s="21" t="str">
        <x:v>PCIe Gen4 x8 plus x4; carrier-dependent</x:v>
      </x:c>
      <x:c r="I12" s="21" t="str">
        <x:v>Up to 2.5GbE on module</x:v>
      </x:c>
      <x:c r="J12" s="32"/>
      <x:c r="K12" s="26"/>
      <x:c r="L12" s="21" t="str">
        <x:v>Quote only</x:v>
      </x:c>
      <x:c r="M12" s="21" t="str">
        <x:v>Order code TBD; contact vendor</x:v>
      </x:c>
      <x:c r="N12" s="35" t="d">
        <x:v>2026-10-18T00:00:00.000Z</x:v>
      </x:c>
      <x:c r="O12" s="31" t="n">
        <x:f>IF(OR(F12="",F12=0),"",ROUNDUP(1024/F12,0))</x:f>
        <x:v>16</x:v>
      </x:c>
      <x:c r="P12" s="25" t="str">
        <x:f>IF(OR(K12="",K12=0,O12=""),"",K12*O12)</x:f>
      </x:c>
      <x:c r="Q12" s="38" t="str">
        <x:v>https://www.tria-technologies.com/product/tria-hmm-iqx/</x:v>
      </x:c>
      <x:c r="R12" s="21" t="str">
        <x:v>One of the few announced 64 GB LPDDR5X embedded modules. Public pricing is not 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0bf345721c2748a3"/>
  </x:tableParts>
</x:worksheet>
</file>

<file path=xl/worksheets/sheet6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27" hidden="0" customWidth="1"/>
    <x:col min="3" max="3" width="22" hidden="0" customWidth="1"/>
    <x:col min="4" max="4" width="9.670000076293945" hidden="0" customWidth="1"/>
    <x:col min="5" max="5" width="9.779999732971191" hidden="0" customWidth="1"/>
    <x:col min="6" max="6" width="16.670000076293945" hidden="0" customWidth="1"/>
    <x:col min="7" max="7" width="30" hidden="0" customWidth="1"/>
    <x:col min="8" max="8" width="38" hidden="0" customWidth="1"/>
    <x:col min="9" max="9" width="6.21999979019165" hidden="0" customWidth="1"/>
    <x:col min="10" max="10" width="8.670000076293945" hidden="0" customWidth="1"/>
    <x:col min="11" max="11" width="24" hidden="0" customWidth="1"/>
    <x:col min="12" max="12" width="28" hidden="0" customWidth="1"/>
    <x:col min="13" max="13" width="7.559999942779541" hidden="0" customWidth="1"/>
    <x:col min="14" max="14" width="11.4399995803833" hidden="0" customWidth="1"/>
    <x:col min="15" max="15" width="17.110000610351562" hidden="0" customWidth="1"/>
    <x:col min="16" max="16" width="42" hidden="0" customWidth="1"/>
    <x:col min="17" max="17" width="60" hidden="0" customWidth="1"/>
  </x:cols>
  <x:sheetData>
    <x:row r="2">
      <x:c r="A2" s="1" t="str">
        <x:v>Accelerator and FPGA database</x:v>
      </x:c>
    </x:row>
    <x:row r="3" ht="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18" customHeight="1">
      <x:c r="A4" s="24" t="str">
        <x:v>This tab covers non-GPU accelerators and programmable cards with local high-bandwidth memory or unusually fast links.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</x:row>
    <x:row r="6" ht="32" hidden="0" customHeight="1">
      <x:c r="A6" s="16" t="str">
        <x:v>Vendor</x:v>
      </x:c>
      <x:c r="B6" s="17" t="str">
        <x:v>Model</x:v>
      </x:c>
      <x:c r="C6" s="17" t="str">
        <x:v>Type</x:v>
      </x:c>
      <x:c r="D6" s="17" t="str">
        <x:v>Memory type</x:v>
      </x:c>
      <x:c r="E6" s="17" t="str">
        <x:v>Memory (GB)</x:v>
      </x:c>
      <x:c r="F6" s="17" t="str">
        <x:v>Peak bandwidth (GB/s)</x:v>
      </x:c>
      <x:c r="G6" s="17" t="str">
        <x:v>Host interface</x:v>
      </x:c>
      <x:c r="H6" s="17" t="str">
        <x:v>Scale-out / peer links</x:v>
      </x:c>
      <x:c r="I6" s="17" t="str">
        <x:v>TDP (W)</x:v>
      </x:c>
      <x:c r="J6" s="17" t="str">
        <x:v>Price (USD)</x:v>
      </x:c>
      <x:c r="K6" s="17" t="str">
        <x:v>Price basis</x:v>
      </x:c>
      <x:c r="L6" s="17" t="str">
        <x:v>Availability</x:v>
      </x:c>
      <x:c r="M6" s="17" t="str">
        <x:v>Price date</x:v>
      </x:c>
      <x:c r="N6" s="17" t="str">
        <x:v>Nodes for 1 TiB</x:v>
      </x:c>
      <x:c r="O6" s="17" t="str">
        <x:v>1 TiB device cost (USD)</x:v>
      </x:c>
      <x:c r="P6" s="17" t="str">
        <x:v>Source</x:v>
      </x:c>
      <x:c r="Q6" s="18" t="str">
        <x:v>Notes</x:v>
      </x:c>
    </x:row>
    <x:row r="7" ht="15" hidden="0" customHeight="1">
      <x:c r="A7" s="22" t="str">
        <x:v>Tenstorrent</x:v>
      </x:c>
      <x:c r="B7" s="22" t="str">
        <x:v>Blackhole p150a</x:v>
      </x:c>
      <x:c r="C7" s="22" t="str">
        <x:v>AI accelerator</x:v>
      </x:c>
      <x:c r="D7" s="22" t="str">
        <x:v>GDDR6</x:v>
      </x:c>
      <x:c r="E7" s="31" t="n">
        <x:v>32</x:v>
      </x:c>
      <x:c r="F7" s="28" t="n">
        <x:v>512</x:v>
      </x:c>
      <x:c r="G7" s="22" t="str">
        <x:v>PCIe 5.0 x16</x:v>
      </x:c>
      <x:c r="H7" s="22" t="str">
        <x:v>4x QSFP-DD 800G</x:v>
      </x:c>
      <x:c r="I7" s="31" t="n">
        <x:v>300</x:v>
      </x:c>
      <x:c r="J7" s="25" t="n">
        <x:v>1399</x:v>
      </x:c>
      <x:c r="K7" s="22" t="str">
        <x:v>Current vendor retail</x:v>
      </x:c>
      <x:c r="L7" s="22" t="str">
        <x:v>In stock; ships in about two weeks</x:v>
      </x:c>
      <x:c r="M7" s="34" t="d">
        <x:v>2026-10-18T00:00:00.000Z</x:v>
      </x:c>
      <x:c r="N7" s="31" t="n">
        <x:f>IF(OR(E7="",E7=0),"",ROUNDUP(1024/E7,0))</x:f>
        <x:v>32</x:v>
      </x:c>
      <x:c r="O7" s="25" t="n">
        <x:f>IF(OR(J7="",J7=0,N7=""),"",J7*N7)</x:f>
        <x:v>44768</x:v>
      </x:c>
      <x:c r="P7" s="37" t="str">
        <x:v>https://tenstorrent.com/hardware/cards</x:v>
      </x:c>
      <x:c r="Q7" s="22" t="str">
        <x:v>The QSFP-DD ports are for Tenstorrent card-to-card links. This is the strongest prototype candidate for high-speed scale-out.</x:v>
      </x:c>
    </x:row>
    <x:row r="8" ht="15" hidden="0" customHeight="1">
      <x:c r="A8" s="21" t="str">
        <x:v>Tenstorrent</x:v>
      </x:c>
      <x:c r="B8" s="21" t="str">
        <x:v>Wormhole n300d</x:v>
      </x:c>
      <x:c r="C8" s="21" t="str">
        <x:v>AI accelerator</x:v>
      </x:c>
      <x:c r="D8" s="21" t="str">
        <x:v>GDDR6</x:v>
      </x:c>
      <x:c r="E8" s="32" t="n">
        <x:v>24</x:v>
      </x:c>
      <x:c r="F8" s="29" t="n">
        <x:v>576</x:v>
      </x:c>
      <x:c r="G8" s="21" t="str">
        <x:v>PCIe 4.0 x16</x:v>
      </x:c>
      <x:c r="H8" s="21" t="str">
        <x:v>2x QSFP-DD 200G plus Warp bridges</x:v>
      </x:c>
      <x:c r="I8" s="32" t="n">
        <x:v>300</x:v>
      </x:c>
      <x:c r="J8" s="26" t="n">
        <x:v>1399</x:v>
      </x:c>
      <x:c r="K8" s="21" t="str">
        <x:v>Vendor retail</x:v>
      </x:c>
      <x:c r="L8" s="21" t="str">
        <x:v>Available; previous generation</x:v>
      </x:c>
      <x:c r="M8" s="35" t="d">
        <x:v>2026-10-18T00:00:00.000Z</x:v>
      </x:c>
      <x:c r="N8" s="31" t="n">
        <x:f>IF(OR(E8="",E8=0),"",ROUNDUP(1024/E8,0))</x:f>
        <x:v>43</x:v>
      </x:c>
      <x:c r="O8" s="25" t="n">
        <x:f>IF(OR(J8="",J8=0,N8=""),"",J8*N8)</x:f>
        <x:v>60157</x:v>
      </x:c>
      <x:c r="P8" s="38" t="str">
        <x:v>https://docs.tenstorrent.com/aibs/wormhole/index.html</x:v>
      </x:c>
      <x:c r="Q8" s="21" t="str">
        <x:v>Less memory than Blackhole p150a and similar price.</x:v>
      </x:c>
    </x:row>
    <x:row r="9" ht="15" hidden="0" customHeight="1">
      <x:c r="A9" s="23" t="str">
        <x:v>Intel</x:v>
      </x:c>
      <x:c r="B9" s="23" t="str">
        <x:v>Gaudi2</x:v>
      </x:c>
      <x:c r="C9" s="23" t="str">
        <x:v>AI accelerator</x:v>
      </x:c>
      <x:c r="D9" s="23" t="str">
        <x:v>HBM2e</x:v>
      </x:c>
      <x:c r="E9" s="33" t="n">
        <x:v>96</x:v>
      </x:c>
      <x:c r="F9" s="30" t="n">
        <x:v>2450</x:v>
      </x:c>
      <x:c r="G9" s="23" t="str">
        <x:v>PCIe Gen3/4 x16 host</x:v>
      </x:c>
      <x:c r="H9" s="23" t="str">
        <x:v>24x 100GbE RoCE v2</x:v>
      </x:c>
      <x:c r="I9" s="33" t="n">
        <x:v>600</x:v>
      </x:c>
      <x:c r="J9" s="27"/>
      <x:c r="K9" s="23" t="str">
        <x:v>System or OEM quote</x:v>
      </x:c>
      <x:c r="L9" s="23" t="str">
        <x:v>Mostly sold in complete servers</x:v>
      </x:c>
      <x:c r="M9" s="36" t="d">
        <x:v>2026-10-18T00:00:00.000Z</x:v>
      </x:c>
      <x:c r="N9" s="31" t="n">
        <x:f>IF(OR(E9="",E9=0),"",ROUNDUP(1024/E9,0))</x:f>
        <x:v>11</x:v>
      </x:c>
      <x:c r="O9" s="25" t="str">
        <x:f>IF(OR(J9="",J9=0,N9=""),"",J9*N9)</x:f>
      </x:c>
      <x:c r="P9" s="39" t="str">
        <x:v>https://cdrdv2-public.intel.com/839363/Intel-Gaudi2-AI-Accelerators-whitepaper.pdf</x:v>
      </x:c>
      <x:c r="Q9" s="23" t="str">
        <x:v>Integrated Ethernet fabric is unusually strong. Complete used eight-card servers are listed separately on Platform.</x:v>
      </x:c>
    </x:row>
    <x:row r="10" ht="15" hidden="0" customHeight="1">
      <x:c r="A10" s="21" t="str">
        <x:v>AMD</x:v>
      </x:c>
      <x:c r="B10" s="21" t="str">
        <x:v>Alveo V80</x:v>
      </x:c>
      <x:c r="C10" s="21" t="str">
        <x:v>FPGA / adaptive SoC</x:v>
      </x:c>
      <x:c r="D10" s="21" t="str">
        <x:v>HBM2e</x:v>
      </x:c>
      <x:c r="E10" s="32" t="n">
        <x:v>32</x:v>
      </x:c>
      <x:c r="F10" s="29" t="n">
        <x:v>819</x:v>
      </x:c>
      <x:c r="G10" s="21" t="str">
        <x:v>PCIe Gen5 x8x8 or Gen4 x16</x:v>
      </x:c>
      <x:c r="H10" s="21" t="str">
        <x:v>4x QSFP56; up to 800Gb/s aggregate</x:v>
      </x:c>
      <x:c r="I10" s="32" t="n">
        <x:v>190</x:v>
      </x:c>
      <x:c r="J10" s="26" t="n">
        <x:v>9495</x:v>
      </x:c>
      <x:c r="K10" s="21" t="str">
        <x:v>Published launch price</x:v>
      </x:c>
      <x:c r="L10" s="21" t="str">
        <x:v>Order through AMD channel</x:v>
      </x:c>
      <x:c r="M10" s="35" t="d">
        <x:v>2026-10-18T00:00:00.000Z</x:v>
      </x:c>
      <x:c r="N10" s="31" t="n">
        <x:f>IF(OR(E10="",E10=0),"",ROUNDUP(1024/E10,0))</x:f>
        <x:v>32</x:v>
      </x:c>
      <x:c r="O10" s="25" t="n">
        <x:f>IF(OR(J10="",J10=0,N10=""),"",J10*N10)</x:f>
        <x:v>303840</x:v>
      </x:c>
      <x:c r="P10" s="38" t="str">
        <x:v>https://www.amd.com/en/products/accelerators/alveo/v80.html</x:v>
      </x:c>
      <x:c r="Q10" s="21" t="str">
        <x:v>Programmable hardware can implement custom decode engines, but development cost is high.</x:v>
      </x:c>
    </x:row>
    <x:row r="11" ht="15" hidden="0" customHeight="1">
      <x:c r="A11" s="23" t="str">
        <x:v>Intel</x:v>
      </x:c>
      <x:c r="B11" s="23" t="str">
        <x:v>Stratix 10 MX dev kit</x:v>
      </x:c>
      <x:c r="C11" s="23" t="str">
        <x:v>FPGA</x:v>
      </x:c>
      <x:c r="D11" s="23" t="str">
        <x:v>HBM2</x:v>
      </x:c>
      <x:c r="E11" s="33" t="n">
        <x:v>16</x:v>
      </x:c>
      <x:c r="F11" s="30" t="n">
        <x:v>512</x:v>
      </x:c>
      <x:c r="G11" s="23" t="str">
        <x:v>PCIe 3.0 x16</x:v>
      </x:c>
      <x:c r="H11" s="23" t="str">
        <x:v>Board-dependent</x:v>
      </x:c>
      <x:c r="I11" s="33"/>
      <x:c r="J11" s="27"/>
      <x:c r="K11" s="23" t="str">
        <x:v>Quote only</x:v>
      </x:c>
      <x:c r="L11" s="23" t="str">
        <x:v>Development kit channel</x:v>
      </x:c>
      <x:c r="M11" s="36" t="d">
        <x:v>2026-10-18T00:00:00.000Z</x:v>
      </x:c>
      <x:c r="N11" s="31" t="n">
        <x:f>IF(OR(E11="",E11=0),"",ROUNDUP(1024/E11,0))</x:f>
        <x:v>64</x:v>
      </x:c>
      <x:c r="O11" s="25" t="str">
        <x:f>IF(OR(J11="",J11=0,N11=""),"",J11*N11)</x:f>
      </x:c>
      <x:c r="P11" s="39" t="str">
        <x:v>https://www.intel.com/content/www/us/en/products/sku/235234/intel-stratix-10-mx-fpga-development-kit-production-htile-16-gb-hbm2/specifications.html</x:v>
      </x:c>
      <x:c r="Q11" s="23" t="str">
        <x:v>Useful for memory-controller and custom-pipeline experiments, but not a low-cost path to one TiB.</x:v>
      </x:c>
    </x:row>
  </x:sheetData>
  <x:pageMargins left="0.7" right="0.7" top="0.75" bottom="0.75" header="0.3" footer="0.3"/>
  <x:tableParts count="1">
    <x:tablePart xmlns:r="http://schemas.openxmlformats.org/officeDocument/2006/relationships" r:id="Racaad3d6e1454441"/>
  </x:tableParts>
</x:worksheet>
</file>

<file path=xl/worksheets/sheet7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34" hidden="0" customWidth="1"/>
    <x:col min="3" max="3" width="23" hidden="0" customWidth="1"/>
    <x:col min="4" max="4" width="31" hidden="0" customWidth="1"/>
    <x:col min="5" max="5" width="31" hidden="0" customWidth="1"/>
    <x:col min="6" max="6" width="13.670000076293945" hidden="0" customWidth="1"/>
    <x:col min="7" max="7" width="24.889999389648438" hidden="0" customWidth="1"/>
    <x:col min="8" max="8" width="39" hidden="0" customWidth="1"/>
    <x:col min="9" max="9" width="34" hidden="0" customWidth="1"/>
    <x:col min="10" max="10" width="7.78000020980835" hidden="0" customWidth="1"/>
    <x:col min="11" max="11" width="8.670000076293945" hidden="0" customWidth="1"/>
    <x:col min="12" max="12" width="30" hidden="0" customWidth="1"/>
    <x:col min="13" max="13" width="28" hidden="0" customWidth="1"/>
    <x:col min="14" max="14" width="7.559999942779541" hidden="0" customWidth="1"/>
    <x:col min="15" max="15" width="13" hidden="0" customWidth="1"/>
    <x:col min="16" max="16" width="17.559999465942383" hidden="0" customWidth="1"/>
    <x:col min="17" max="17" width="42" hidden="0" customWidth="1"/>
    <x:col min="18" max="18" width="62" hidden="0" customWidth="1"/>
  </x:cols>
  <x:sheetData>
    <x:row r="2">
      <x:c r="A2" s="1" t="str">
        <x:v>Complete systems and platforms</x:v>
      </x:c>
    </x:row>
    <x:row r="3" ht="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18" customHeight="1">
      <x:c r="A4" s="24" t="str">
        <x:v>Complete-system prices are more comparable than chip prices for platforms with soldered memory or proprietary carriers.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</x:row>
    <x:row r="6" ht="32" hidden="0" customHeight="1">
      <x:c r="A6" s="16" t="str">
        <x:v>Vendor</x:v>
      </x:c>
      <x:c r="B6" s="17" t="str">
        <x:v>System</x:v>
      </x:c>
      <x:c r="C6" s="17" t="str">
        <x:v>Platform type</x:v>
      </x:c>
      <x:c r="D6" s="17" t="str">
        <x:v>Compute</x:v>
      </x:c>
      <x:c r="E6" s="17" t="str">
        <x:v>Memory type</x:v>
      </x:c>
      <x:c r="F6" s="17" t="str">
        <x:v>Total memory (GB)</x:v>
      </x:c>
      <x:c r="G6" s="17" t="str">
        <x:v>Peak / aggregate bandwidth (GB/s)</x:v>
      </x:c>
      <x:c r="H6" s="17" t="str">
        <x:v>Node interconnect</x:v>
      </x:c>
      <x:c r="I6" s="17" t="str">
        <x:v>Host expansion</x:v>
      </x:c>
      <x:c r="J6" s="17" t="str">
        <x:v>Power (W)</x:v>
      </x:c>
      <x:c r="K6" s="17" t="str">
        <x:v>Price (USD)</x:v>
      </x:c>
      <x:c r="L6" s="17" t="str">
        <x:v>Price basis</x:v>
      </x:c>
      <x:c r="M6" s="17" t="str">
        <x:v>Availability</x:v>
      </x:c>
      <x:c r="N6" s="17" t="str">
        <x:v>Price date</x:v>
      </x:c>
      <x:c r="O6" s="17" t="str">
        <x:v>Systems for 1 TiB</x:v>
      </x:c>
      <x:c r="P6" s="17" t="str">
        <x:v>1 TiB system cost (USD)</x:v>
      </x:c>
      <x:c r="Q6" s="17" t="str">
        <x:v>Source</x:v>
      </x:c>
      <x:c r="R6" s="18" t="str">
        <x:v>Notes</x:v>
      </x:c>
    </x:row>
    <x:row r="7" ht="15" hidden="0" customHeight="1">
      <x:c r="A7" s="22" t="str">
        <x:v>Supermicro / Intel</x:v>
      </x:c>
      <x:c r="B7" s="22" t="str">
        <x:v>SYS-820GH-TNR2 with 8x Gaudi2</x:v>
      </x:c>
      <x:c r="C7" s="22" t="str">
        <x:v>8-accelerator server</x:v>
      </x:c>
      <x:c r="D7" s="22" t="str">
        <x:v>8x Intel Gaudi2</x:v>
      </x:c>
      <x:c r="E7" s="22" t="str">
        <x:v>HBM2e</x:v>
      </x:c>
      <x:c r="F7" s="31" t="n">
        <x:v>768</x:v>
      </x:c>
      <x:c r="G7" s="28" t="n">
        <x:v>19600</x:v>
      </x:c>
      <x:c r="H7" s="22" t="str">
        <x:v>Each accelerator has 24x100GbE RoCE</x:v>
      </x:c>
      <x:c r="I7" s="22" t="str">
        <x:v>PCIe Gen4 host fabric</x:v>
      </x:c>
      <x:c r="J7" s="31"/>
      <x:c r="K7" s="25" t="n">
        <x:v>12500</x:v>
      </x:c>
      <x:c r="L7" s="22" t="str">
        <x:v>Current used complete-server listing</x:v>
      </x:c>
      <x:c r="M7" s="22" t="str">
        <x:v>Used; advertised lot of 180</x:v>
      </x:c>
      <x:c r="N7" s="34" t="d">
        <x:v>2026-10-18T00:00:00.000Z</x:v>
      </x:c>
      <x:c r="O7" s="31" t="n">
        <x:f>IF(OR(F7="",F7=0),"",ROUNDUP(1024/F7,0))</x:f>
        <x:v>2</x:v>
      </x:c>
      <x:c r="P7" s="25" t="n">
        <x:f>IF(OR(K7="",K7=0,O7=""),"",K7*O7)</x:f>
        <x:v>25000</x:v>
      </x:c>
      <x:c r="Q7" s="37" t="str">
        <x:v>https://www.reddit.com/r/homelabsales/comments/1wzwsbk/fs_usamn_supermicro_sys820ghtnr2_gpu_server_w_8x/</x:v>
      </x:c>
      <x:c r="R7" s="22" t="str">
        <x:v>Aggregate memory is distributed across eight accelerators. Price should be verified with seller and includes the host server.</x:v>
      </x:c>
    </x:row>
    <x:row r="8" ht="15" hidden="0" customHeight="1">
      <x:c r="A8" s="21" t="str">
        <x:v>NVIDIA</x:v>
      </x:c>
      <x:c r="B8" s="21" t="str">
        <x:v>DGX Station GB300</x:v>
      </x:c>
      <x:c r="C8" s="21" t="str">
        <x:v>Desktop AI workstation</x:v>
      </x:c>
      <x:c r="D8" s="21" t="str">
        <x:v>Grace CPU + Blackwell Ultra GPU</x:v>
      </x:c>
      <x:c r="E8" s="21" t="str">
        <x:v>496 GB LPDDR5X + 252 GB HBM3e</x:v>
      </x:c>
      <x:c r="F8" s="32" t="n">
        <x:v>748</x:v>
      </x:c>
      <x:c r="G8" s="29" t="n">
        <x:v>7100</x:v>
      </x:c>
      <x:c r="H8" s="21" t="str">
        <x:v>900 GB/s NVLink-C2C; enterprise networking</x:v>
      </x:c>
      <x:c r="I8" s="21" t="str">
        <x:v>System-specific</x:v>
      </x:c>
      <x:c r="J8" s="32" t="n">
        <x:v>1600</x:v>
      </x:c>
      <x:c r="K8" s="26" t="n">
        <x:v>94930</x:v>
      </x:c>
      <x:c r="L8" s="21" t="str">
        <x:v>Observed retail workstation listing</x:v>
      </x:c>
      <x:c r="M8" s="21" t="str">
        <x:v>Available to order</x:v>
      </x:c>
      <x:c r="N8" s="35" t="d">
        <x:v>2026-10-18T00:00:00.000Z</x:v>
      </x:c>
      <x:c r="O8" s="31" t="n">
        <x:f>IF(OR(F8="",F8=0),"",ROUNDUP(1024/F8,0))</x:f>
        <x:v>2</x:v>
      </x:c>
      <x:c r="P8" s="25" t="n">
        <x:f>IF(OR(K8="",K8=0,O8=""),"",K8*O8)</x:f>
        <x:v>189860</x:v>
      </x:c>
      <x:c r="Q8" s="38" t="str">
        <x:v>https://www.tomshardware.com/desktops/nvidias-gb300-powered-dgx-station-desktop-tower-listed-for-nearly-usd100-000-online-enterprise-ai-powerhouse-now-available-to-buy-for-mere-mortals-with-lots-of-cash</x:v>
      </x:c>
      <x:c r="R8" s="21" t="str">
        <x:v>Bandwidth shown is GPU HBM bandwidth. CPU LPDDR5X is about 396 GB/s; memory is coherent but physically split.</x:v>
      </x:c>
    </x:row>
    <x:row r="9" ht="15" hidden="0" customHeight="1">
      <x:c r="A9" s="23" t="str">
        <x:v>Apple</x:v>
      </x:c>
      <x:c r="B9" s="23" t="str">
        <x:v>Mac Studio M3 Ultra 512GB</x:v>
      </x:c>
      <x:c r="C9" s="23" t="str">
        <x:v>Desktop workstation</x:v>
      </x:c>
      <x:c r="D9" s="23" t="str">
        <x:v>M3 Ultra</x:v>
      </x:c>
      <x:c r="E9" s="23" t="str">
        <x:v>Unified LPDDR5</x:v>
      </x:c>
      <x:c r="F9" s="33" t="n">
        <x:v>512</x:v>
      </x:c>
      <x:c r="G9" s="30" t="n">
        <x:v>819</x:v>
      </x:c>
      <x:c r="H9" s="23" t="str">
        <x:v>Thunderbolt 5 up to 120Gb/s; 10GbE</x:v>
      </x:c>
      <x:c r="I9" s="23" t="str">
        <x:v>No PCIe slots</x:v>
      </x:c>
      <x:c r="J9" s="33"/>
      <x:c r="K9" s="27" t="n">
        <x:v>10499</x:v>
      </x:c>
      <x:c r="L9" s="23" t="str">
        <x:v>Historical configured retail</x:v>
      </x:c>
      <x:c r="M9" s="23" t="str">
        <x:v>512 GB configuration scarce; used/refurbished</x:v>
      </x:c>
      <x:c r="N9" s="36" t="d">
        <x:v>2026-10-18T00:00:00.000Z</x:v>
      </x:c>
      <x:c r="O9" s="31" t="n">
        <x:f>IF(OR(F9="",F9=0),"",ROUNDUP(1024/F9,0))</x:f>
        <x:v>2</x:v>
      </x:c>
      <x:c r="P9" s="25" t="n">
        <x:f>IF(OR(K9="",K9=0,O9=""),"",K9*O9)</x:f>
        <x:v>20998</x:v>
      </x:c>
      <x:c r="Q9" s="39" t="str">
        <x:v>https://www.apple.com/newsroom/2025/03/apple-reveals-m3-ultra-taking-apple-silicon-to-a-new-extreme/</x:v>
      </x:c>
      <x:c r="R9" s="23" t="str">
        <x:v>Excellent single-node capacity and bandwidth. Cluster links are much slower than local memory.</x:v>
      </x:c>
    </x:row>
    <x:row r="10" ht="15" hidden="0" customHeight="1">
      <x:c r="A10" s="21" t="str">
        <x:v>NVIDIA</x:v>
      </x:c>
      <x:c r="B10" s="21" t="str">
        <x:v>DGX Spark</x:v>
      </x:c>
      <x:c r="C10" s="21" t="str">
        <x:v>Desktop AI system</x:v>
      </x:c>
      <x:c r="D10" s="21" t="str">
        <x:v>GB10 Grace Blackwell</x:v>
      </x:c>
      <x:c r="E10" s="21" t="str">
        <x:v>Unified LPDDR5X</x:v>
      </x:c>
      <x:c r="F10" s="32" t="n">
        <x:v>128</x:v>
      </x:c>
      <x:c r="G10" s="29" t="n">
        <x:v>273</x:v>
      </x:c>
      <x:c r="H10" s="21" t="str">
        <x:v>2x QSFP 200GbE ConnectX-7; 10GbE</x:v>
      </x:c>
      <x:c r="I10" s="21" t="str">
        <x:v>M.2 storage; USB</x:v>
      </x:c>
      <x:c r="J10" s="32" t="n">
        <x:v>240</x:v>
      </x:c>
      <x:c r="K10" s="26" t="n">
        <x:v>4699</x:v>
      </x:c>
      <x:c r="L10" s="21" t="str">
        <x:v>Current official price</x:v>
      </x:c>
      <x:c r="M10" s="21" t="str">
        <x:v>Retail</x:v>
      </x:c>
      <x:c r="N10" s="35" t="d">
        <x:v>2026-10-18T00:00:00.000Z</x:v>
      </x:c>
      <x:c r="O10" s="31" t="n">
        <x:f>IF(OR(F10="",F10=0),"",ROUNDUP(1024/F10,0))</x:f>
        <x:v>8</x:v>
      </x:c>
      <x:c r="P10" s="25" t="n">
        <x:f>IF(OR(K10="",K10=0,O10=""),"",K10*O10)</x:f>
        <x:v>37592</x:v>
      </x:c>
      <x:c r="Q10" s="38" t="str">
        <x:v>https://docs.nvidia.com/dgx/dgx-spark/hardware.html</x:v>
      </x:c>
      <x:c r="R10" s="21" t="str">
        <x:v>Two-node direct clustering is supported. Link bandwidth remains below local-memory bandwidth.</x:v>
      </x:c>
    </x:row>
    <x:row r="11" ht="15" hidden="0" customHeight="1">
      <x:c r="A11" s="23" t="str">
        <x:v>Radxa</x:v>
      </x:c>
      <x:c r="B11" s="23" t="str">
        <x:v>Orion O6 64GB</x:v>
      </x:c>
      <x:c r="C11" s="23" t="str">
        <x:v>Mini-ITX Arm board</x:v>
      </x:c>
      <x:c r="D11" s="23" t="str">
        <x:v>CIX P1</x:v>
      </x:c>
      <x:c r="E11" s="23" t="str">
        <x:v>LPDDR5</x:v>
      </x:c>
      <x:c r="F11" s="33" t="n">
        <x:v>64</x:v>
      </x:c>
      <x:c r="G11" s="30" t="n">
        <x:v>100</x:v>
      </x:c>
      <x:c r="H11" s="23" t="str">
        <x:v>Dual 5GbE</x:v>
      </x:c>
      <x:c r="I11" s="23" t="str">
        <x:v>PCIe 4.0 x8 physical x16 slot</x:v>
      </x:c>
      <x:c r="J11" s="33"/>
      <x:c r="K11" s="27" t="n">
        <x:v>539</x:v>
      </x:c>
      <x:c r="L11" s="23" t="str">
        <x:v>Official retail price</x:v>
      </x:c>
      <x:c r="M11" s="23" t="str">
        <x:v>Partner stock is inconsistent</x:v>
      </x:c>
      <x:c r="N11" s="36" t="d">
        <x:v>2026-10-18T00:00:00.000Z</x:v>
      </x:c>
      <x:c r="O11" s="31" t="n">
        <x:f>IF(OR(F11="",F11=0),"",ROUNDUP(1024/F11,0))</x:f>
        <x:v>16</x:v>
      </x:c>
      <x:c r="P11" s="25" t="n">
        <x:f>IF(OR(K11="",K11=0,O11=""),"",K11*O11)</x:f>
        <x:v>8624</x:v>
      </x:c>
      <x:c r="Q11" s="39" t="str">
        <x:v>https://radxa.com/products/orion/o6/</x:v>
      </x:c>
      <x:c r="R11" s="23" t="str">
        <x:v>A practical CIX P1 prototype board, but not a removable SoM.</x:v>
      </x:c>
    </x:row>
    <x:row r="12" ht="15" hidden="0" customHeight="1">
      <x:c r="A12" s="21" t="str">
        <x:v>Fujitsu</x:v>
      </x:c>
      <x:c r="B12" s="21" t="str">
        <x:v>PRIMEHPC FX700 two-node chassis</x:v>
      </x:c>
      <x:c r="C12" s="21" t="str">
        <x:v>2U HPC server</x:v>
      </x:c>
      <x:c r="D12" s="21" t="str">
        <x:v>2x A64FX nodes</x:v>
      </x:c>
      <x:c r="E12" s="21" t="str">
        <x:v>HBM2</x:v>
      </x:c>
      <x:c r="F12" s="32" t="n">
        <x:v>64</x:v>
      </x:c>
      <x:c r="G12" s="29" t="n">
        <x:v>2048</x:v>
      </x:c>
      <x:c r="H12" s="21" t="str">
        <x:v>InfiniBand EDR or HDR100</x:v>
      </x:c>
      <x:c r="I12" s="21" t="str">
        <x:v>One PCIe Gen3 x16 slot per node</x:v>
      </x:c>
      <x:c r="J12" s="32" t="n">
        <x:v>2800</x:v>
      </x:c>
      <x:c r="K12" s="26" t="n">
        <x:v>38000</x:v>
      </x:c>
      <x:c r="L12" s="21" t="str">
        <x:v>Historical approximate price</x:v>
      </x:c>
      <x:c r="M12" s="21" t="str">
        <x:v>Discontinued; rare used</x:v>
      </x:c>
      <x:c r="N12" s="35" t="d">
        <x:v>2026-10-18T00:00:00.000Z</x:v>
      </x:c>
      <x:c r="O12" s="31" t="n">
        <x:f>IF(OR(F12="",F12=0),"",ROUNDUP(1024/F12,0))</x:f>
        <x:v>16</x:v>
      </x:c>
      <x:c r="P12" s="25" t="n">
        <x:f>IF(OR(K12="",K12=0,O12=""),"",K12*O12)</x:f>
        <x:v>608000</x:v>
      </x:c>
      <x:c r="Q12" s="38" t="str">
        <x:v>https://www.fujitsu.com/downloads/SUPER/primehpc-fx700-datasheet-en.pdf</x:v>
      </x:c>
      <x:c r="R12" s="21" t="str">
        <x:v>Each node has 32 GiB and 1,024 GB/s. Price is historical and approximate.</x:v>
      </x:c>
    </x:row>
    <x:row r="13" ht="15" hidden="0" customHeight="1">
      <x:c r="A13" s="23" t="str">
        <x:v>Fujitsu</x:v>
      </x:c>
      <x:c r="B13" s="23" t="str">
        <x:v>PRIMEHPC FX1000 rack</x:v>
      </x:c>
      <x:c r="C13" s="23" t="str">
        <x:v>Dedicated HPC rack</x:v>
      </x:c>
      <x:c r="D13" s="23" t="str">
        <x:v>384x A64FX nodes</x:v>
      </x:c>
      <x:c r="E13" s="23" t="str">
        <x:v>HBM2</x:v>
      </x:c>
      <x:c r="F13" s="33" t="n">
        <x:v>12288</x:v>
      </x:c>
      <x:c r="G13" s="30" t="n">
        <x:v>393000</x:v>
      </x:c>
      <x:c r="H13" s="23" t="str">
        <x:v>Tofu Interconnect D 6D mesh/torus</x:v>
      </x:c>
      <x:c r="I13" s="23" t="str">
        <x:v>48 PCIe expansion slots per rack</x:v>
      </x:c>
      <x:c r="J13" s="33"/>
      <x:c r="K13" s="27"/>
      <x:c r="L13" s="23" t="str">
        <x:v>Quote only</x:v>
      </x:c>
      <x:c r="M13" s="23" t="str">
        <x:v>Enterprise procurement; used units extremely rare</x:v>
      </x:c>
      <x:c r="N13" s="36" t="d">
        <x:v>2026-10-18T00:00:00.000Z</x:v>
      </x:c>
      <x:c r="O13" s="31" t="n">
        <x:f>IF(OR(F13="",F13=0),"",ROUNDUP(1024/F13,0))</x:f>
        <x:v>1</x:v>
      </x:c>
      <x:c r="P13" s="25" t="str">
        <x:f>IF(OR(K13="",K13=0,O13=""),"",K13*O13)</x:f>
      </x:c>
      <x:c r="Q13" s="39" t="str">
        <x:v>https://www.fujitsu.com/downloads/SUPER/primehpc-fx1000-datasheet-en-202302.pdf</x:v>
      </x:c>
      <x:c r="R13" s="23" t="str">
        <x:v>Requires dedicated rack infrastructure and water cooling. Not a practical DIY cluster platform.</x:v>
      </x:c>
    </x:row>
  </x:sheetData>
  <x:pageMargins left="0.7" right="0.7" top="0.75" bottom="0.75" header="0.3" footer="0.3"/>
  <x:tableParts count="1">
    <x:tablePart xmlns:r="http://schemas.openxmlformats.org/officeDocument/2006/relationships" r:id="Rb38901d93dfe41a7"/>
  </x:tableParts>
</x:worksheet>
</file>