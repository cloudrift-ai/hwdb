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70eb54bac247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ac5f4880bd94723"/>
    <x:sheet xmlns:r="http://schemas.openxmlformats.org/officeDocument/2006/relationships" name="CPU" sheetId="2" r:id="Ra5fcb9dac2184af6"/>
    <x:sheet xmlns:r="http://schemas.openxmlformats.org/officeDocument/2006/relationships" name="GPU" sheetId="3" r:id="R19728180de0f4bdc"/>
    <x:sheet xmlns:r="http://schemas.openxmlformats.org/officeDocument/2006/relationships" name="Mobile SoC" sheetId="4" r:id="R2378b094c2a44659"/>
    <x:sheet xmlns:r="http://schemas.openxmlformats.org/officeDocument/2006/relationships" name="SoM" sheetId="5" r:id="Rc83407632c574e22"/>
    <x:sheet xmlns:r="http://schemas.openxmlformats.org/officeDocument/2006/relationships" name="Accelerator" sheetId="6" r:id="Re05c6a58b5f44467"/>
    <x:sheet xmlns:r="http://schemas.openxmlformats.org/officeDocument/2006/relationships" name="Platform" sheetId="7" r:id="R13bf758629fa4f76"/>
    <x:sheet xmlns:r="http://schemas.openxmlformats.org/officeDocument/2006/relationships" name="SSD" sheetId="8" r:id="Ra4dc11171ccb44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&quot;$&quot;#,##0"/>
    <x:numFmt numFmtId="201" formatCode="#,##0.0"/>
    <x:numFmt numFmtId="202" formatCode="#,##0"/>
    <x:numFmt numFmtId="203" formatCode="yyyy-mm-dd"/>
    <x:numFmt numFmtId="204" formatCode="$#,##0"/>
    <x:numFmt numFmtId="205" formatCode="$#,##0.00"/>
    <x:numFmt numFmtId="206" formatCode="0"/>
    <x:numFmt numFmtId="207" formatCode="0.000"/>
    <x:numFmt numFmtId="208" formatCode="0.0"/>
    <x:numFmt numFmtId="209" formatCode="0.00"/>
  </x:numFmts>
  <x:fonts count="15">
    <x:font>
      <x:sz val="11"/>
      <x:name val="Carlito"/>
    </x:font>
    <x:font>
      <x:b/>
      <x:sz val="14"/>
      <x:color rgb="FF17365D"/>
      <x:name val="Arial"/>
    </x:font>
    <x:font>
      <x:i/>
      <x:sz val="10"/>
      <x:color rgb="FF4B5563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sz val="9"/>
      <x:color rgb="FF0563C1"/>
      <x:name val="Arial"/>
    </x:font>
    <x:font>
      <x:b/>
      <x:sz val="16"/>
      <x:color rgb="FF17365D"/>
      <x:name val="Arial"/>
    </x:font>
    <x:font>
      <x:b/>
      <x:sz val="11"/>
      <x:color rgb="FF1F2937"/>
      <x:name val="Arial"/>
    </x:font>
    <x:font>
      <x:b/>
      <x:sz val="10"/>
      <x:color rgb="FF17365D"/>
      <x:name val="Arial"/>
    </x:font>
    <x:font>
      <x:sz val="10"/>
      <x:color rgb="FF263445"/>
      <x:name val="Arial"/>
    </x:font>
    <x:font>
      <x:b/>
      <x:sz val="11"/>
      <x:color rgb="FF19395C"/>
      <x:name val="Arial"/>
    </x:font>
    <x:font>
      <x:b/>
      <x:sz val="16"/>
      <x:color rgb="FF19395C"/>
      <x:name val="Arial"/>
    </x:font>
    <x:font>
      <x:i/>
      <x:sz val="10"/>
      <x:color rgb="FF5A6472"/>
      <x:name val="Arial"/>
    </x:font>
    <x:font>
      <x:sz val="10"/>
      <x:color rgb="FF0563C1"/>
      <x:name val="Arial"/>
    </x:font>
    <x:font>
      <x:sz val="10"/>
      <x:color rgb="FF5A6472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19395C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9395C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E1F2"/>
      </x:bottom>
      <x:diagonal/>
    </x:border>
    <x:border>
      <x:left/>
      <x:right/>
      <x:top style="thin">
        <x:color rgb="FFD9E1F2"/>
      </x:top>
      <x:bottom style="thin">
        <x:color rgb="FFD9E1F2"/>
      </x:bottom>
      <x:diagonal/>
    </x:border>
    <x:border>
      <x:left/>
      <x:right/>
      <x:top/>
      <x:bottom style="medium">
        <x:color rgb="FF19395C"/>
      </x:bottom>
      <x:diagonal/>
    </x:border>
  </x:borders>
  <x:cellStyleXfs count="1">
    <x:xf numFmtId="0" fontId="0" fillId="0" borderId="0"/>
  </x:cellStyleXfs>
  <x:cellXfs count="206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5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wrapText="0"/>
    </x:xf>
    <x:xf numFmtId="20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200" fontId="3" fillId="3" borderId="5" xfId="0" applyNumberFormat="1" applyFont="1" applyFill="1" applyBorder="1" applyAlignment="1">
      <x:alignment vertical="center"/>
    </x:xf>
    <x:xf numFmtId="201" fontId="3" fillId="3" borderId="4" xfId="0" applyNumberFormat="1" applyFont="1" applyFill="1" applyBorder="1" applyAlignment="1">
      <x:alignment vertical="center"/>
    </x:xf>
    <x:xf numFmtId="201" fontId="3" fillId="0" borderId="5" xfId="0" applyNumberFormat="1" applyFont="1" applyFill="1" applyBorder="1" applyAlignment="1">
      <x:alignment vertical="center"/>
    </x:xf>
    <x:xf numFmtId="201" fontId="3" fillId="3" borderId="5" xfId="0" applyNumberFormat="1" applyFont="1" applyFill="1" applyBorder="1" applyAlignment="1">
      <x:alignment vertical="center"/>
    </x:xf>
    <x:xf numFmtId="202" fontId="3" fillId="3" borderId="4" xfId="0" applyNumberFormat="1" applyFont="1" applyFill="1" applyBorder="1" applyAlignment="1">
      <x:alignment vertical="center"/>
    </x:xf>
    <x:xf numFmtId="202" fontId="3" fillId="0" borderId="5" xfId="0" applyNumberFormat="1" applyFont="1" applyFill="1" applyBorder="1" applyAlignment="1">
      <x:alignment vertical="center"/>
    </x:xf>
    <x:xf numFmtId="202" fontId="3" fillId="3" borderId="5" xfId="0" applyNumberFormat="1" applyFont="1" applyFill="1" applyBorder="1" applyAlignment="1">
      <x:alignment vertical="center"/>
    </x:xf>
    <x:xf numFmtId="203" fontId="3" fillId="3" borderId="4" xfId="0" applyNumberFormat="1" applyFont="1" applyFill="1" applyBorder="1" applyAlignment="1">
      <x:alignment vertical="center"/>
    </x:xf>
    <x:xf numFmtId="203" fontId="3" fillId="0" borderId="5" xfId="0" applyNumberFormat="1" applyFont="1" applyFill="1" applyBorder="1" applyAlignment="1">
      <x:alignment vertical="center"/>
    </x:xf>
    <x:xf numFmtId="203" fontId="3" fillId="3" borderId="5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3" fontId="0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4" fontId="3" fillId="0" borderId="5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vertical="center" wrapText="1"/>
    </x:xf>
    <x:xf numFmtId="204" fontId="3" fillId="0" borderId="5" xfId="0" applyNumberFormat="1" applyFont="1" applyFill="1" applyBorder="1" applyAlignment="1">
      <x:alignment vertical="center" wrapText="1"/>
    </x:xf>
    <x:xf numFmtId="203" fontId="3" fillId="0" borderId="5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top" wrapText="1"/>
    </x:xf>
    <x:xf numFmtId="202" fontId="3" fillId="0" borderId="5" xfId="0" applyNumberFormat="1" applyFont="1" applyFill="1" applyBorder="1" applyAlignment="1">
      <x:alignment vertical="top" wrapText="1"/>
    </x:xf>
    <x:xf numFmtId="201" fontId="3" fillId="0" borderId="5" xfId="0" applyNumberFormat="1" applyFont="1" applyFill="1" applyBorder="1" applyAlignment="1">
      <x:alignment vertical="top" wrapText="1"/>
    </x:xf>
    <x:xf numFmtId="204" fontId="3" fillId="0" borderId="5" xfId="0" applyNumberFormat="1" applyFont="1" applyFill="1" applyBorder="1" applyAlignment="1">
      <x:alignment vertical="top" wrapText="1"/>
    </x:xf>
    <x:xf numFmtId="203" fontId="3" fillId="0" borderId="5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3" fillId="5" borderId="5" xfId="0" applyNumberFormat="1" applyFont="1" applyFill="1" applyBorder="1" applyAlignment="1">
      <x:alignment vertical="top" wrapText="1"/>
    </x:xf>
    <x:xf numFmtId="202" fontId="3" fillId="5" borderId="5" xfId="0" applyNumberFormat="1" applyFont="1" applyFill="1" applyBorder="1" applyAlignment="1">
      <x:alignment vertical="top" wrapText="1"/>
    </x:xf>
    <x:xf numFmtId="201" fontId="3" fillId="5" borderId="5" xfId="0" applyNumberFormat="1" applyFont="1" applyFill="1" applyBorder="1" applyAlignment="1">
      <x:alignment vertical="top" wrapText="1"/>
    </x:xf>
    <x:xf numFmtId="204" fontId="3" fillId="5" borderId="5" xfId="0" applyNumberFormat="1" applyFont="1" applyFill="1" applyBorder="1" applyAlignment="1">
      <x:alignment vertical="top" wrapText="1"/>
    </x:xf>
    <x:xf numFmtId="203" fontId="3" fillId="5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3" fillId="6" borderId="5" xfId="0" applyNumberFormat="1" applyFont="1" applyFill="1" applyBorder="1" applyAlignment="1">
      <x:alignment vertical="top" wrapText="1"/>
    </x:xf>
    <x:xf numFmtId="202" fontId="3" fillId="6" borderId="5" xfId="0" applyNumberFormat="1" applyFont="1" applyFill="1" applyBorder="1" applyAlignment="1">
      <x:alignment vertical="top" wrapText="1"/>
    </x:xf>
    <x:xf numFmtId="201" fontId="3" fillId="6" borderId="5" xfId="0" applyNumberFormat="1" applyFont="1" applyFill="1" applyBorder="1" applyAlignment="1">
      <x:alignment vertical="top" wrapText="1"/>
    </x:xf>
    <x:xf numFmtId="204" fontId="3" fillId="6" borderId="5" xfId="0" applyNumberFormat="1" applyFont="1" applyFill="1" applyBorder="1" applyAlignment="1">
      <x:alignment vertical="top" wrapText="1"/>
    </x:xf>
    <x:xf numFmtId="203" fontId="3" fillId="6" borderId="5" xfId="0" applyNumberFormat="1" applyFont="1" applyFill="1" applyBorder="1" applyAlignment="1">
      <x:alignment vertical="top" wrapText="1"/>
    </x:xf>
    <x:xf numFmtId="0" fontId="5" fillId="6" borderId="5" xfId="0" applyNumberFormat="1" applyFont="1" applyFill="1" applyBorder="1" applyAlignment="1">
      <x:alignment vertical="top" wrapText="1"/>
    </x:xf>
    <x:xf numFmtId="203" fontId="3" fillId="5" borderId="5" xfId="0" applyNumberFormat="1" applyFont="1" applyFill="1" applyBorder="1" applyAlignment="1">
      <x:alignment vertical="top" wrapText="0"/>
    </x:xf>
    <x:xf numFmtId="203" fontId="3" fillId="6" borderId="5" xfId="0" applyNumberFormat="1" applyFont="1" applyFill="1" applyBorder="1" applyAlignment="1">
      <x:alignment vertical="top" wrapText="0"/>
    </x:xf>
    <x:xf numFmtId="0" fontId="3" fillId="7" borderId="5" xfId="0" applyNumberFormat="1" applyFont="1" applyFill="1" applyBorder="1" applyAlignment="1">
      <x:alignment vertical="top" wrapText="1"/>
    </x:xf>
    <x:xf numFmtId="202" fontId="3" fillId="7" borderId="5" xfId="0" applyNumberFormat="1" applyFont="1" applyFill="1" applyBorder="1" applyAlignment="1">
      <x:alignment vertical="top" wrapText="1"/>
    </x:xf>
    <x:xf numFmtId="201" fontId="3" fillId="7" borderId="5" xfId="0" applyNumberFormat="1" applyFont="1" applyFill="1" applyBorder="1" applyAlignment="1">
      <x:alignment vertical="top" wrapText="1"/>
    </x:xf>
    <x:xf numFmtId="204" fontId="3" fillId="7" borderId="5" xfId="0" applyNumberFormat="1" applyFont="1" applyFill="1" applyBorder="1" applyAlignment="1">
      <x:alignment vertical="top" wrapText="1"/>
    </x:xf>
    <x:xf numFmtId="203" fontId="3" fillId="7" borderId="5" xfId="0" applyNumberFormat="1" applyFont="1" applyFill="1" applyBorder="1" applyAlignment="1">
      <x:alignment vertical="top" wrapText="0"/>
    </x:xf>
    <x:xf numFmtId="0" fontId="5" fillId="7" borderId="5" xfId="0" applyNumberFormat="1" applyFont="1" applyFill="1" applyBorder="1" applyAlignment="1">
      <x:alignment vertical="top" wrapText="1"/>
    </x:xf>
    <x:xf numFmtId="205" fontId="3" fillId="7" borderId="5" xfId="0" applyNumberFormat="1" applyFont="1" applyFill="1" applyBorder="1" applyAlignment="1">
      <x:alignment vertical="top" wrapText="1"/>
    </x:xf>
    <x:xf numFmtId="0" fontId="3" fillId="8" borderId="5" xfId="0" applyNumberFormat="1" applyFont="1" applyFill="1" applyBorder="1" applyAlignment="1">
      <x:alignment vertical="center"/>
    </x:xf>
    <x:xf numFmtId="202" fontId="3" fillId="8" borderId="5" xfId="0" applyNumberFormat="1" applyFont="1" applyFill="1" applyBorder="1" applyAlignment="1">
      <x:alignment vertical="center"/>
    </x:xf>
    <x:xf numFmtId="201" fontId="3" fillId="8" borderId="5" xfId="0" applyNumberFormat="1" applyFont="1" applyFill="1" applyBorder="1" applyAlignment="1">
      <x:alignment vertical="center"/>
    </x:xf>
    <x:xf numFmtId="200" fontId="3" fillId="8" borderId="5" xfId="0" applyNumberFormat="1" applyFont="1" applyFill="1" applyBorder="1" applyAlignment="1">
      <x:alignment vertical="center"/>
    </x:xf>
    <x:xf numFmtId="203" fontId="3" fillId="8" borderId="5" xfId="0" applyNumberFormat="1" applyFont="1" applyFill="1" applyBorder="1" applyAlignment="1">
      <x:alignment vertical="center"/>
    </x:xf>
    <x:xf numFmtId="202" fontId="3" fillId="8" borderId="4" xfId="0" applyNumberFormat="1" applyFont="1" applyFill="1" applyBorder="1" applyAlignment="1">
      <x:alignment vertical="center"/>
    </x:xf>
    <x:xf numFmtId="200" fontId="3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3" fillId="8" borderId="5" xfId="0" applyNumberFormat="1" applyFont="1" applyFill="1" applyBorder="1" applyAlignment="1">
      <x:alignment vertical="center" wrapText="1"/>
    </x:xf>
    <x:xf numFmtId="202" fontId="3" fillId="8" borderId="5" xfId="0" applyNumberFormat="1" applyFont="1" applyFill="1" applyBorder="1" applyAlignment="1">
      <x:alignment vertical="center" wrapText="1"/>
    </x:xf>
    <x:xf numFmtId="201" fontId="3" fillId="8" borderId="5" xfId="0" applyNumberFormat="1" applyFont="1" applyFill="1" applyBorder="1" applyAlignment="1">
      <x:alignment vertical="center" wrapText="1"/>
    </x:xf>
    <x:xf numFmtId="200" fontId="3" fillId="8" borderId="5" xfId="0" applyNumberFormat="1" applyFont="1" applyFill="1" applyBorder="1" applyAlignment="1">
      <x:alignment vertical="center" wrapText="1"/>
    </x:xf>
    <x:xf numFmtId="203" fontId="3" fillId="8" borderId="5" xfId="0" applyNumberFormat="1" applyFont="1" applyFill="1" applyBorder="1" applyAlignment="1">
      <x:alignment vertical="center" wrapText="1"/>
    </x:xf>
    <x:xf numFmtId="202" fontId="3" fillId="8" borderId="4" xfId="0" applyNumberFormat="1" applyFont="1" applyFill="1" applyBorder="1" applyAlignment="1">
      <x:alignment vertical="center" wrapText="1"/>
    </x:xf>
    <x:xf numFmtId="200" fontId="3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0" fontId="3" fillId="8" borderId="5" xfId="0" applyNumberFormat="1" applyFont="1" applyFill="1" applyBorder="1" applyAlignment="1">
      <x:alignment vertical="top" wrapText="1"/>
    </x:xf>
    <x:xf numFmtId="202" fontId="3" fillId="8" borderId="5" xfId="0" applyNumberFormat="1" applyFont="1" applyFill="1" applyBorder="1" applyAlignment="1">
      <x:alignment vertical="top" wrapText="1"/>
    </x:xf>
    <x:xf numFmtId="201" fontId="3" fillId="8" borderId="5" xfId="0" applyNumberFormat="1" applyFont="1" applyFill="1" applyBorder="1" applyAlignment="1">
      <x:alignment vertical="top" wrapText="1"/>
    </x:xf>
    <x:xf numFmtId="200" fontId="3" fillId="8" borderId="5" xfId="0" applyNumberFormat="1" applyFont="1" applyFill="1" applyBorder="1" applyAlignment="1">
      <x:alignment vertical="top" wrapText="1"/>
    </x:xf>
    <x:xf numFmtId="203" fontId="3" fillId="8" borderId="5" xfId="0" applyNumberFormat="1" applyFont="1" applyFill="1" applyBorder="1" applyAlignment="1">
      <x:alignment vertical="top" wrapText="1"/>
    </x:xf>
    <x:xf numFmtId="202" fontId="3" fillId="8" borderId="4" xfId="0" applyNumberFormat="1" applyFont="1" applyFill="1" applyBorder="1" applyAlignment="1">
      <x:alignment vertical="top" wrapText="1"/>
    </x:xf>
    <x:xf numFmtId="200" fontId="3" fillId="8" borderId="4" xfId="0" applyNumberFormat="1" applyFont="1" applyFill="1" applyBorder="1" applyAlignment="1">
      <x:alignment vertical="top" wrapText="1"/>
    </x:xf>
    <x:xf numFmtId="0" fontId="5" fillId="8" borderId="5" xfId="0" applyNumberFormat="1" applyFont="1" applyFill="1" applyBorder="1" applyAlignment="1">
      <x:alignment vertical="top" wrapText="1"/>
    </x:xf>
    <x:xf numFmtId="203" fontId="3" fillId="8" borderId="5" xfId="0" applyNumberFormat="1" applyFont="1" applyFill="1" applyBorder="1" applyAlignment="1">
      <x:alignment vertical="top" wrapText="0"/>
    </x:xf>
    <x:xf numFmtId="0" fontId="3" fillId="9" borderId="5" xfId="0" applyNumberFormat="1" applyFont="1" applyFill="1" applyBorder="1" applyAlignment="1">
      <x:alignment vertical="center"/>
    </x:xf>
    <x:xf numFmtId="202" fontId="3" fillId="9" borderId="5" xfId="0" applyNumberFormat="1" applyFont="1" applyFill="1" applyBorder="1" applyAlignment="1">
      <x:alignment vertical="center"/>
    </x:xf>
    <x:xf numFmtId="201" fontId="3" fillId="9" borderId="5" xfId="0" applyNumberFormat="1" applyFont="1" applyFill="1" applyBorder="1" applyAlignment="1">
      <x:alignment vertical="center"/>
    </x:xf>
    <x:xf numFmtId="200" fontId="3" fillId="9" borderId="5" xfId="0" applyNumberFormat="1" applyFont="1" applyFill="1" applyBorder="1" applyAlignment="1">
      <x:alignment vertical="center"/>
    </x:xf>
    <x:xf numFmtId="203" fontId="3" fillId="9" borderId="5" xfId="0" applyNumberFormat="1" applyFont="1" applyFill="1" applyBorder="1" applyAlignment="1">
      <x:alignment vertical="center"/>
    </x:xf>
    <x:xf numFmtId="202" fontId="3" fillId="9" borderId="4" xfId="0" applyNumberFormat="1" applyFont="1" applyFill="1" applyBorder="1" applyAlignment="1">
      <x:alignment vertical="center"/>
    </x:xf>
    <x:xf numFmtId="200" fontId="3" fillId="9" borderId="4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vertical="center"/>
    </x:xf>
    <x:xf numFmtId="0" fontId="3" fillId="9" borderId="5" xfId="0" applyNumberFormat="1" applyFont="1" applyFill="1" applyBorder="1" applyAlignment="1">
      <x:alignment vertical="center" wrapText="1"/>
    </x:xf>
    <x:xf numFmtId="202" fontId="3" fillId="9" borderId="5" xfId="0" applyNumberFormat="1" applyFont="1" applyFill="1" applyBorder="1" applyAlignment="1">
      <x:alignment vertical="center" wrapText="1"/>
    </x:xf>
    <x:xf numFmtId="201" fontId="3" fillId="9" borderId="5" xfId="0" applyNumberFormat="1" applyFont="1" applyFill="1" applyBorder="1" applyAlignment="1">
      <x:alignment vertical="center" wrapText="1"/>
    </x:xf>
    <x:xf numFmtId="200" fontId="3" fillId="9" borderId="5" xfId="0" applyNumberFormat="1" applyFont="1" applyFill="1" applyBorder="1" applyAlignment="1">
      <x:alignment vertical="center" wrapText="1"/>
    </x:xf>
    <x:xf numFmtId="203" fontId="3" fillId="9" borderId="5" xfId="0" applyNumberFormat="1" applyFont="1" applyFill="1" applyBorder="1" applyAlignment="1">
      <x:alignment vertical="center" wrapText="1"/>
    </x:xf>
    <x:xf numFmtId="202" fontId="3" fillId="9" borderId="4" xfId="0" applyNumberFormat="1" applyFont="1" applyFill="1" applyBorder="1" applyAlignment="1">
      <x:alignment vertical="center" wrapText="1"/>
    </x:xf>
    <x:xf numFmtId="200" fontId="3" fillId="9" borderId="4" xfId="0" applyNumberFormat="1" applyFont="1" applyFill="1" applyBorder="1" applyAlignment="1">
      <x:alignment vertical="center" wrapText="1"/>
    </x:xf>
    <x:xf numFmtId="0" fontId="5" fillId="9" borderId="5" xfId="0" applyNumberFormat="1" applyFont="1" applyFill="1" applyBorder="1" applyAlignment="1">
      <x:alignment vertical="center" wrapText="1"/>
    </x:xf>
    <x:xf numFmtId="0" fontId="3" fillId="9" borderId="5" xfId="0" applyNumberFormat="1" applyFont="1" applyFill="1" applyBorder="1" applyAlignment="1">
      <x:alignment vertical="top" wrapText="1"/>
    </x:xf>
    <x:xf numFmtId="202" fontId="3" fillId="9" borderId="5" xfId="0" applyNumberFormat="1" applyFont="1" applyFill="1" applyBorder="1" applyAlignment="1">
      <x:alignment vertical="top" wrapText="1"/>
    </x:xf>
    <x:xf numFmtId="201" fontId="3" fillId="9" borderId="5" xfId="0" applyNumberFormat="1" applyFont="1" applyFill="1" applyBorder="1" applyAlignment="1">
      <x:alignment vertical="top" wrapText="1"/>
    </x:xf>
    <x:xf numFmtId="200" fontId="3" fillId="9" borderId="5" xfId="0" applyNumberFormat="1" applyFont="1" applyFill="1" applyBorder="1" applyAlignment="1">
      <x:alignment vertical="top" wrapText="1"/>
    </x:xf>
    <x:xf numFmtId="203" fontId="3" fillId="9" borderId="5" xfId="0" applyNumberFormat="1" applyFont="1" applyFill="1" applyBorder="1" applyAlignment="1">
      <x:alignment vertical="top" wrapText="1"/>
    </x:xf>
    <x:xf numFmtId="202" fontId="3" fillId="9" borderId="4" xfId="0" applyNumberFormat="1" applyFont="1" applyFill="1" applyBorder="1" applyAlignment="1">
      <x:alignment vertical="top" wrapText="1"/>
    </x:xf>
    <x:xf numFmtId="200" fontId="3" fillId="9" borderId="4" xfId="0" applyNumberFormat="1" applyFont="1" applyFill="1" applyBorder="1" applyAlignment="1">
      <x:alignment vertical="top" wrapText="1"/>
    </x:xf>
    <x:xf numFmtId="0" fontId="5" fillId="9" borderId="5" xfId="0" applyNumberFormat="1" applyFont="1" applyFill="1" applyBorder="1" applyAlignment="1">
      <x:alignment vertical="top" wrapText="1"/>
    </x:xf>
    <x:xf numFmtId="203" fontId="3" fillId="9" borderId="5" xfId="0" applyNumberFormat="1" applyFont="1" applyFill="1" applyBorder="1" applyAlignment="1">
      <x:alignment vertical="top" wrapText="0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 applyAlignment="1">
      <x:alignment vertical="top" wrapText="1"/>
    </x:xf>
    <x:xf numFmtId="206" fontId="9" fillId="11" borderId="0" xfId="0" applyNumberFormat="1" applyFont="1" applyFill="1" applyBorder="1" applyAlignment="1">
      <x:alignment vertical="top" wrapText="1"/>
    </x:xf>
    <x:xf numFmtId="207" fontId="9" fillId="11" borderId="0" xfId="0" applyNumberFormat="1" applyFont="1" applyFill="1" applyBorder="1" applyAlignment="1">
      <x:alignment vertical="top" wrapText="1"/>
    </x:xf>
    <x:xf numFmtId="208" fontId="9" fillId="11" borderId="0" xfId="0" applyNumberFormat="1" applyFont="1" applyFill="1" applyBorder="1" applyAlignment="1">
      <x:alignment vertical="top" wrapText="1"/>
    </x:xf>
    <x:xf numFmtId="206" fontId="9" fillId="11" borderId="0" xfId="0" applyNumberFormat="1" applyFont="1" applyFill="1" applyBorder="1" applyAlignment="1">
      <x:alignment horizontal="right" vertical="top" wrapText="1"/>
    </x:xf>
    <x:xf numFmtId="207" fontId="9" fillId="11" borderId="0" xfId="0" applyNumberFormat="1" applyFont="1" applyFill="1" applyBorder="1" applyAlignment="1">
      <x:alignment horizontal="right" vertical="top" wrapText="1"/>
    </x:xf>
    <x:xf numFmtId="208" fontId="9" fillId="11" borderId="0" xfId="0" applyNumberFormat="1" applyFont="1" applyFill="1" applyBorder="1" applyAlignment="1">
      <x:alignment horizontal="right" vertical="top" wrapText="1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9" fillId="12" borderId="0" xfId="0" applyNumberFormat="1" applyFont="1" applyFill="1" applyBorder="1" applyAlignment="1">
      <x:alignment vertical="top" wrapText="1"/>
    </x:xf>
    <x:xf numFmtId="206" fontId="9" fillId="12" borderId="0" xfId="0" applyNumberFormat="1" applyFont="1" applyFill="1" applyBorder="1" applyAlignment="1">
      <x:alignment vertical="top" wrapText="1"/>
    </x:xf>
    <x:xf numFmtId="207" fontId="9" fillId="12" borderId="0" xfId="0" applyNumberFormat="1" applyFont="1" applyFill="1" applyBorder="1" applyAlignment="1">
      <x:alignment vertical="top" wrapText="1"/>
    </x:xf>
    <x:xf numFmtId="208" fontId="9" fillId="12" borderId="0" xfId="0" applyNumberFormat="1" applyFont="1" applyFill="1" applyBorder="1" applyAlignment="1">
      <x:alignment vertical="top" wrapText="1"/>
    </x:xf>
    <x:xf numFmtId="206" fontId="9" fillId="12" borderId="0" xfId="0" applyNumberFormat="1" applyFont="1" applyFill="1" applyBorder="1" applyAlignment="1">
      <x:alignment horizontal="right" vertical="top" wrapText="1"/>
    </x:xf>
    <x:xf numFmtId="207" fontId="9" fillId="12" borderId="0" xfId="0" applyNumberFormat="1" applyFont="1" applyFill="1" applyBorder="1" applyAlignment="1">
      <x:alignment horizontal="right" vertical="top" wrapText="1"/>
    </x:xf>
    <x:xf numFmtId="208" fontId="9" fillId="12" borderId="0" xfId="0" applyNumberFormat="1" applyFont="1" applyFill="1" applyBorder="1" applyAlignment="1">
      <x:alignment horizontal="right" vertical="top" wrapText="1"/>
    </x:xf>
    <x:xf numFmtId="0" fontId="10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9" fillId="0" borderId="6" xfId="0" applyNumberFormat="1" applyFont="1" applyFill="1" applyBorder="1"/>
    <x:xf numFmtId="0" fontId="12" fillId="0" borderId="0" xfId="0" applyNumberFormat="1" applyFont="1" applyFill="1" applyBorder="1"/>
    <x:xf numFmtId="0" fontId="9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wrapText="1"/>
    </x:xf>
    <x:xf numFmtId="0" fontId="4" fillId="13" borderId="0" xfId="0" applyNumberFormat="1" applyFont="1" applyFill="1" applyBorder="1" applyAlignment="1">
      <x:alignment horizontal="center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vertical="top"/>
    </x:xf>
    <x:xf numFmtId="0" fontId="9" fillId="14" borderId="0" xfId="0" applyNumberFormat="1" applyFont="1" applyFill="1" applyBorder="1" applyAlignment="1">
      <x:alignment vertical="top" wrapText="1"/>
    </x:xf>
    <x:xf numFmtId="0" fontId="9" fillId="15" borderId="0" xfId="0" applyNumberFormat="1" applyFont="1" applyFill="1" applyBorder="1"/>
    <x:xf numFmtId="0" fontId="9" fillId="15" borderId="0" xfId="0" applyNumberFormat="1" applyFont="1" applyFill="1" applyBorder="1" applyAlignment="1">
      <x:alignment vertical="top"/>
    </x:xf>
    <x:xf numFmtId="0" fontId="9" fillId="15" borderId="0" xfId="0" applyNumberFormat="1" applyFont="1" applyFill="1" applyBorder="1" applyAlignment="1">
      <x:alignment vertical="top" wrapText="1"/>
    </x:xf>
    <x:xf numFmtId="209" fontId="9" fillId="14" borderId="0" xfId="0" applyNumberFormat="1" applyFont="1" applyFill="1" applyBorder="1" applyAlignment="1">
      <x:alignment vertical="top" wrapText="1"/>
    </x:xf>
    <x:xf numFmtId="209" fontId="9" fillId="15" borderId="0" xfId="0" applyNumberFormat="1" applyFont="1" applyFill="1" applyBorder="1" applyAlignment="1">
      <x:alignment vertical="top" wrapText="1"/>
    </x:xf>
    <x:xf numFmtId="202" fontId="9" fillId="14" borderId="0" xfId="0" applyNumberFormat="1" applyFont="1" applyFill="1" applyBorder="1" applyAlignment="1">
      <x:alignment vertical="top" wrapText="1"/>
    </x:xf>
    <x:xf numFmtId="202" fontId="9" fillId="15" borderId="0" xfId="0" applyNumberFormat="1" applyFont="1" applyFill="1" applyBorder="1" applyAlignment="1">
      <x:alignment vertical="top" wrapText="1"/>
    </x:xf>
    <x:xf numFmtId="205" fontId="9" fillId="14" borderId="0" xfId="0" applyNumberFormat="1" applyFont="1" applyFill="1" applyBorder="1" applyAlignment="1">
      <x:alignment vertical="top" wrapText="1"/>
    </x:xf>
    <x:xf numFmtId="205" fontId="9" fillId="15" borderId="0" xfId="0" applyNumberFormat="1" applyFont="1" applyFill="1" applyBorder="1" applyAlignment="1">
      <x:alignment vertical="top" wrapText="1"/>
    </x:xf>
    <x:xf numFmtId="208" fontId="9" fillId="14" borderId="0" xfId="0" applyNumberFormat="1" applyFont="1" applyFill="1" applyBorder="1" applyAlignment="1">
      <x:alignment vertical="top" wrapText="1"/>
    </x:xf>
    <x:xf numFmtId="208" fontId="9" fillId="15" borderId="0" xfId="0" applyNumberFormat="1" applyFont="1" applyFill="1" applyBorder="1" applyAlignment="1">
      <x:alignment vertical="top" wrapText="1"/>
    </x:xf>
    <x:xf numFmtId="203" fontId="9" fillId="14" borderId="0" xfId="0" applyNumberFormat="1" applyFont="1" applyFill="1" applyBorder="1" applyAlignment="1">
      <x:alignment vertical="top" wrapText="1"/>
    </x:xf>
    <x:xf numFmtId="203" fontId="9" fillId="15" borderId="0" xfId="0" applyNumberFormat="1" applyFont="1" applyFill="1" applyBorder="1" applyAlignment="1">
      <x:alignment vertical="top" wrapText="1"/>
    </x:xf>
    <x:xf numFmtId="203" fontId="9" fillId="14" borderId="0" xfId="0" applyNumberFormat="1" applyFont="1" applyFill="1" applyBorder="1" applyAlignment="1">
      <x:alignment vertical="top" wrapText="0"/>
    </x:xf>
    <x:xf numFmtId="203" fontId="9" fillId="15" borderId="0" xfId="0" applyNumberFormat="1" applyFont="1" applyFill="1" applyBorder="1" applyAlignment="1">
      <x:alignment vertical="top" wrapText="0"/>
    </x:xf>
    <x:xf numFmtId="209" fontId="9" fillId="14" borderId="0" xfId="0" applyNumberFormat="1" applyFont="1" applyFill="1" applyBorder="1" applyAlignment="1">
      <x:alignment horizontal="right" vertical="top" wrapText="1"/>
    </x:xf>
    <x:xf numFmtId="0" fontId="9" fillId="14" borderId="0" xfId="0" applyNumberFormat="1" applyFont="1" applyFill="1" applyBorder="1" applyAlignment="1">
      <x:alignment horizontal="right" vertical="top" wrapText="1"/>
    </x:xf>
    <x:xf numFmtId="202" fontId="9" fillId="14" borderId="0" xfId="0" applyNumberFormat="1" applyFont="1" applyFill="1" applyBorder="1" applyAlignment="1">
      <x:alignment horizontal="right" vertical="top" wrapText="1"/>
    </x:xf>
    <x:xf numFmtId="209" fontId="9" fillId="15" borderId="0" xfId="0" applyNumberFormat="1" applyFont="1" applyFill="1" applyBorder="1" applyAlignment="1">
      <x:alignment horizontal="right" vertical="top" wrapText="1"/>
    </x:xf>
    <x:xf numFmtId="0" fontId="9" fillId="15" borderId="0" xfId="0" applyNumberFormat="1" applyFont="1" applyFill="1" applyBorder="1" applyAlignment="1">
      <x:alignment horizontal="right" vertical="top" wrapText="1"/>
    </x:xf>
    <x:xf numFmtId="202" fontId="9" fillId="15" borderId="0" xfId="0" applyNumberFormat="1" applyFont="1" applyFill="1" applyBorder="1" applyAlignment="1">
      <x:alignment horizontal="right" vertical="top" wrapText="1"/>
    </x:xf>
    <x:xf numFmtId="205" fontId="9" fillId="14" borderId="0" xfId="0" applyNumberFormat="1" applyFont="1" applyFill="1" applyBorder="1" applyAlignment="1">
      <x:alignment horizontal="right" vertical="top" wrapText="1"/>
    </x:xf>
    <x:xf numFmtId="205" fontId="9" fillId="15" borderId="0" xfId="0" applyNumberFormat="1" applyFont="1" applyFill="1" applyBorder="1" applyAlignment="1">
      <x:alignment horizontal="right" vertical="top" wrapText="1"/>
    </x:xf>
    <x:xf numFmtId="208" fontId="9" fillId="14" borderId="0" xfId="0" applyNumberFormat="1" applyFont="1" applyFill="1" applyBorder="1" applyAlignment="1">
      <x:alignment horizontal="right" vertical="top" wrapText="1"/>
    </x:xf>
    <x:xf numFmtId="208" fontId="9" fillId="15" borderId="0" xfId="0" applyNumberFormat="1" applyFont="1" applyFill="1" applyBorder="1" applyAlignment="1">
      <x:alignment horizontal="right"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e8a283fd834f19" /><Relationship Type="http://schemas.openxmlformats.org/officeDocument/2006/relationships/theme" Target="/xl/theme/theme1.xml" Id="R6eb6c671b7e240fa" /><Relationship Type="http://schemas.openxmlformats.org/officeDocument/2006/relationships/sharedStrings" Target="/xl/sharedStrings.xml" Id="R5d0220ebe34d46bf" /><Relationship Type="http://schemas.openxmlformats.org/officeDocument/2006/relationships/worksheet" Target="/xl/worksheets/sheet1.xml" Id="R0ac5f4880bd94723" /><Relationship Type="http://schemas.openxmlformats.org/officeDocument/2006/relationships/worksheet" Target="/xl/worksheets/sheet2.xml" Id="Ra5fcb9dac2184af6" /><Relationship Type="http://schemas.openxmlformats.org/officeDocument/2006/relationships/worksheet" Target="/xl/worksheets/sheet3.xml" Id="R19728180de0f4bdc" /><Relationship Type="http://schemas.openxmlformats.org/officeDocument/2006/relationships/worksheet" Target="/xl/worksheets/sheet4.xml" Id="R2378b094c2a44659" /><Relationship Type="http://schemas.openxmlformats.org/officeDocument/2006/relationships/worksheet" Target="/xl/worksheets/sheet5.xml" Id="Rc83407632c574e22" /><Relationship Type="http://schemas.openxmlformats.org/officeDocument/2006/relationships/worksheet" Target="/xl/worksheets/sheet6.xml" Id="Re05c6a58b5f44467" /><Relationship Type="http://schemas.openxmlformats.org/officeDocument/2006/relationships/worksheet" Target="/xl/worksheets/sheet7.xml" Id="R13bf758629fa4f76" /><Relationship Type="http://schemas.openxmlformats.org/officeDocument/2006/relationships/worksheet" Target="/xl/worksheets/sheet8.xml" Id="Ra4dc11171ccb445e" /></Relationships>
</file>

<file path=xl/tables/table1.xml><?xml version="1.0" encoding="utf-8"?>
<x:table xmlns:x="http://schemas.openxmlformats.org/spreadsheetml/2006/main" id="7" name="CPUTable" displayName="CPUTable" ref="A6:Y17" headerRowCount="1" totalsRowCount="0" totalsRowShown="0">
  <x:autoFilter ref="A6:Y17"/>
  <x:tableColumns count="25">
    <x:tableColumn id="1" name="Vendor"/>
    <x:tableColumn id="2" name="Model"/>
    <x:tableColumn id="3" name="Architecture"/>
    <x:tableColumn id="4" name="Memory type"/>
    <x:tableColumn id="5" name="Channels / stacks"/>
    <x:tableColumn id="6" name="Max data rate (MT/s)"/>
    <x:tableColumn id="7" name="Max memory (GB)"/>
    <x:tableColumn id="8" name="Peak bandwidth (GB/s)"/>
    <x:tableColumn id="9" name="PCIe generation"/>
    <x:tableColumn id="10" name="PCIe lanes"/>
    <x:tableColumn id="11" name="Socket / form"/>
    <x:tableColumn id="12" name="TDP (W)"/>
    <x:tableColumn id="13" name="Price (USD)"/>
    <x:tableColumn id="14" name="Price basis"/>
    <x:tableColumn id="15" name="Availability"/>
    <x:tableColumn id="16" name="Price date"/>
    <x:tableColumn id="17" name="Source"/>
    <x:tableColumn id="18" name="Notes"/>
    <x:tableColumn id="19" name="NVMe lanes max at CPU gen (1P)"/>
    <x:tableColumn id="20" name="x4 SSDs (lane-budget max)"/>
    <x:tableColumn id="21" name="PCIe per lane (GB/s; one way)"/>
    <x:tableColumn id="22" name="RAID0 PCIe ceiling (GB/s)"/>
    <x:tableColumn id="23" name="RAID0 PCIe/RAM ceiling (GB/s)"/>
    <x:tableColumn id="24" name="NVMe lane / RAID0 constraints"/>
    <x:tableColumn id="25" name="NVMe lane 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PUTable" displayName="GPUTable" ref="A6:T16" headerRowCount="1" totalsRowCount="0" totalsRowShown="0">
  <x:autoFilter ref="A6:T16"/>
  <x:tableColumns count="20">
    <x:tableColumn id="1" name="Vendor"/>
    <x:tableColumn id="2" name="Model"/>
    <x:tableColumn id="3" name="Architecture"/>
    <x:tableColumn id="4" name="Form factor"/>
    <x:tableColumn id="5" name="Memory type"/>
    <x:tableColumn id="6" name="Memory (GB)"/>
    <x:tableColumn id="7" name="Peak bandwidth (GB/s)"/>
    <x:tableColumn id="8" name="Host interface"/>
    <x:tableColumn id="9" name="Host lanes"/>
    <x:tableColumn id="10" name="Peer interconnect"/>
    <x:tableColumn id="11" name="Peer bandwidth (GB/s)"/>
    <x:tableColumn id="12" name="TDP (W)"/>
    <x:tableColumn id="13" name="Price (USD)"/>
    <x:tableColumn id="14" name="Price basis"/>
    <x:tableColumn id="15" name="Availability"/>
    <x:tableColumn id="16" name="Price date"/>
    <x:tableColumn id="17" name="Nodes for 1 TiB"/>
    <x:tableColumn id="18" name="1 TiB device cost (USD)"/>
    <x:tableColumn id="19" name="Source"/>
    <x:tableColumn id="2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obileSoCTable" displayName="MobileSoCTable" ref="A6:Q16" headerRowCount="1" totalsRowCount="0" totalsRowShown="0">
  <x:autoFilter ref="A6:Q16"/>
  <x:tableColumns count="17">
    <x:tableColumn id="1" name="Vendor"/>
    <x:tableColumn id="2" name="SoC"/>
    <x:tableColumn id="3" name="CPU ISA / cores"/>
    <x:tableColumn id="4" name="Memory type"/>
    <x:tableColumn id="5" name="Bus width (bits)"/>
    <x:tableColumn id="6" name="Max data rate (MT/s)"/>
    <x:tableColumn id="7" name="Max memory (GB)"/>
    <x:tableColumn id="8" name="Peak bandwidth (GB/s)"/>
    <x:tableColumn id="9" name="PCIe / high-speed I/O"/>
    <x:tableColumn id="10" name="Integrated compute"/>
    <x:tableColumn id="11" name="Chip price (USD)"/>
    <x:tableColumn id="12" name="Price basis"/>
    <x:tableColumn id="13" name="Availability"/>
    <x:tableColumn id="14" name="SoM / board options"/>
    <x:tableColumn id="15" name="Price date"/>
    <x:tableColumn id="16" name="Source"/>
    <x:tableColumn id="17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MTable" displayName="SoMTable" ref="A6:R12" headerRowCount="1" totalsRowCount="0" totalsRowShown="0">
  <x:autoFilter ref="A6:R12"/>
  <x:tableColumns count="18">
    <x:tableColumn id="1" name="Vendor"/>
    <x:tableColumn id="2" name="Module"/>
    <x:tableColumn id="3" name="SoC"/>
    <x:tableColumn id="4" name="Form factor / pinout"/>
    <x:tableColumn id="5" name="Memory type"/>
    <x:tableColumn id="6" name="Max memory (GB)"/>
    <x:tableColumn id="7" name="Peak bandwidth (GB/s)"/>
    <x:tableColumn id="8" name="PCIe"/>
    <x:tableColumn id="9" name="Network"/>
    <x:tableColumn id="10" name="Power (W)"/>
    <x:tableColumn id="11" name="Price (USD)"/>
    <x:tableColumn id="12" name="Price basis"/>
    <x:tableColumn id="13" name="Availability"/>
    <x:tableColumn id="14" name="Price date"/>
    <x:tableColumn id="15" name="Nodes for 1 TiB"/>
    <x:tableColumn id="16" name="1 TiB module cost (USD)"/>
    <x:tableColumn id="17" name="Source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leratorTable" displayName="AcceleratorTable" ref="A6:Q11" headerRowCount="1" totalsRowCount="0" totalsRowShown="0">
  <x:autoFilter ref="A6:Q11"/>
  <x:tableColumns count="17">
    <x:tableColumn id="1" name="Vendor"/>
    <x:tableColumn id="2" name="Model"/>
    <x:tableColumn id="3" name="Type"/>
    <x:tableColumn id="4" name="Memory type"/>
    <x:tableColumn id="5" name="Memory (GB)"/>
    <x:tableColumn id="6" name="Peak bandwidth (GB/s)"/>
    <x:tableColumn id="7" name="Host interface"/>
    <x:tableColumn id="8" name="Scale-out / peer links"/>
    <x:tableColumn id="9" name="TDP (W)"/>
    <x:tableColumn id="10" name="Price (USD)"/>
    <x:tableColumn id="11" name="Price basis"/>
    <x:tableColumn id="12" name="Availability"/>
    <x:tableColumn id="13" name="Price date"/>
    <x:tableColumn id="14" name="Nodes for 1 TiB"/>
    <x:tableColumn id="15" name="1 TiB device cost (USD)"/>
    <x:tableColumn id="16" name="Source"/>
    <x:tableColumn id="17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latformTable" displayName="PlatformTable" ref="A6:R16" headerRowCount="1" totalsRowCount="0" totalsRowShown="0">
  <x:autoFilter ref="A6:R16"/>
  <x:tableColumns count="18">
    <x:tableColumn id="1" name="Vendor"/>
    <x:tableColumn id="2" name="System"/>
    <x:tableColumn id="3" name="Platform type"/>
    <x:tableColumn id="4" name="Compute"/>
    <x:tableColumn id="5" name="Memory type"/>
    <x:tableColumn id="6" name="Total memory (GB)"/>
    <x:tableColumn id="7" name="Peak / aggregate bandwidth (GB/s)"/>
    <x:tableColumn id="8" name="Node interconnect"/>
    <x:tableColumn id="9" name="Host expansion"/>
    <x:tableColumn id="10" name="Power (W)"/>
    <x:tableColumn id="11" name="Price (USD)"/>
    <x:tableColumn id="12" name="Price basis"/>
    <x:tableColumn id="13" name="Availability"/>
    <x:tableColumn id="14" name="Price date"/>
    <x:tableColumn id="15" name="Systems for 1 TiB"/>
    <x:tableColumn id="16" name="1 TiB system cost (USD)"/>
    <x:tableColumn id="17" name="Source"/>
    <x:tableColumn id="18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SSDTable" displayName="SSDTable" ref="A6:T12" headerRowCount="1" totalsRowCount="0" totalsRowShown="0">
  <x:tableColumns count="20">
    <x:tableColumn id="1" name="Vendor"/>
    <x:tableColumn id="2" name="Model / part number"/>
    <x:tableColumn id="3" name="Condition"/>
    <x:tableColumn id="4" name="Capacity (TB; decimal)"/>
    <x:tableColumn id="5" name="Form factor"/>
    <x:tableColumn id="6" name="PCIe generation"/>
    <x:tableColumn id="7" name="PCIe lanes"/>
    <x:tableColumn id="8" name="Seq. read up to (MB/s)"/>
    <x:tableColumn id="9" name="Seq. write up to (MB/s)"/>
    <x:tableColumn id="10" name="Rated endurance (TBW)"/>
    <x:tableColumn id="11" name="Power-loss protection"/>
    <x:tableColumn id="12" name="Price (USD)"/>
    <x:tableColumn id="13" name="Price basis / seller"/>
    <x:tableColumn id="14" name="Availability"/>
    <x:tableColumn id="15" name="Price date"/>
    <x:tableColumn id="16" name="Price / TB (USD)"/>
    <x:tableColumn id="17" name="4x RAID0 read (GB/s; ideal)"/>
    <x:tableColumn id="18" name="4x RAID0 write (GB/s; ideal)"/>
    <x:tableColumn id="19" name="Sources"/>
    <x:tableColumn id="2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b31cb24f70846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5b605d9950b4b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668e2d96c2a40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b457506d1c2427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b33ed796049480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9e5e367f6bd42e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a543652d3dd442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95" hidden="0" customWidth="1"/>
    <x:col min="2" max="2" width="12" hidden="0" customWidth="1"/>
    <x:col min="3" max="3" width="48" hidden="0" customWidth="1"/>
  </x:cols>
  <x:sheetData>
    <x:row r="2">
      <x:c r="A2" s="40" t="str">
        <x:v>Hardware database</x:v>
      </x:c>
    </x:row>
    <x:row r="3" ht="3" customHeight="1">
      <x:c r="A3" s="2"/>
      <x:c r="B3" s="2"/>
      <x:c r="C3" s="2"/>
      <x:c r="D3" s="2"/>
      <x:c r="E3" s="2"/>
      <x:c r="F3" s="2"/>
      <x:c r="G3" s="2"/>
      <x:c r="H3" s="2"/>
    </x:row>
    <x:row r="4">
      <x:c r="A4" s="41" t="str">
        <x:v>As of</x:v>
      </x:c>
      <x:c r="B4" s="42" t="d">
        <x:v>2026-10-18T00:00:00.000Z</x:v>
      </x:c>
    </x:row>
    <x:row r="6">
      <x:c r="A6" s="44" t="str">
        <x:v>Category</x:v>
      </x:c>
      <x:c r="B6" s="44" t="str">
        <x:v>Records</x:v>
      </x:c>
      <x:c r="C6" s="44" t="str">
        <x:v>Contents</x:v>
      </x:c>
    </x:row>
    <x:row r="7">
      <x:c r="A7" s="47" t="str">
        <x:v>CPU</x:v>
      </x:c>
      <x:c r="B7" s="47" t="n">
        <x:f>COUNTA('CPU'!A7:A1000)</x:f>
        <x:v>11</x:v>
      </x:c>
      <x:c r="C7" s="47" t="str">
        <x:v>Server, workstation and HBM CPU parts</x:v>
      </x:c>
    </x:row>
    <x:row r="8">
      <x:c r="A8" s="46" t="str">
        <x:v>GPU</x:v>
      </x:c>
      <x:c r="B8" s="46" t="n">
        <x:f>COUNTA('GPU'!A7:A1000)</x:f>
        <x:v>10</x:v>
      </x:c>
      <x:c r="C8" s="46" t="str">
        <x:v>Consumer and data-center GPUs</x:v>
      </x:c>
    </x:row>
    <x:row r="9">
      <x:c r="A9" s="48" t="str">
        <x:v>Mobile SoC</x:v>
      </x:c>
      <x:c r="B9" s="48" t="n">
        <x:f>COUNTA('Mobile SoC'!A7:A1000)</x:f>
        <x:v>10</x:v>
      </x:c>
      <x:c r="C9" s="48" t="str">
        <x:v>Integrated processors with LPDDR or unified memory</x:v>
      </x:c>
    </x:row>
    <x:row r="10">
      <x:c r="A10" s="46" t="str">
        <x:v>SoM</x:v>
      </x:c>
      <x:c r="B10" s="46" t="n">
        <x:f>COUNTA('SoM'!A7:A1000)</x:f>
        <x:v>6</x:v>
      </x:c>
      <x:c r="C10" s="46" t="str">
        <x:v>Purchasable modules for carrier-board prototypes</x:v>
      </x:c>
    </x:row>
    <x:row r="11">
      <x:c r="A11" s="48" t="str">
        <x:v>Accelerator</x:v>
      </x:c>
      <x:c r="B11" s="48" t="n">
        <x:f>COUNTA('Accelerator'!A7:A1000)</x:f>
        <x:v>5</x:v>
      </x:c>
      <x:c r="C11" s="48" t="str">
        <x:v>AI accelerators and FPGA cards</x:v>
      </x:c>
    </x:row>
    <x:row r="12">
      <x:c r="A12" s="46" t="str">
        <x:v>Platform</x:v>
      </x:c>
      <x:c r="B12" s="46" t="n">
        <x:f>COUNTA('Platform'!A7:A1000)</x:f>
        <x:v>10</x:v>
      </x:c>
      <x:c r="C12" s="46" t="str">
        <x:v>Complete systems and server platforms</x:v>
      </x:c>
    </x:row>
    <x:row r="13">
      <x:c r="A13" s="47" t="str">
        <x:v>SSD</x:v>
      </x:c>
      <x:c r="B13" s="47" t="n">
        <x:f>COUNTA('SSD'!B7:B1000)</x:f>
        <x:v>6</x:v>
      </x:c>
      <x:c r="C13" s="47" t="str">
        <x:v>New and used NVMe SSDs, endurance and RAID0 estimates</x:v>
      </x:c>
    </x:row>
    <x:row r="15">
      <x:c r="A15" s="50" t="str">
        <x:v>Use notes</x:v>
      </x:c>
      <x:c r="B15" s="50"/>
      <x:c r="C15" s="50"/>
      <x:c r="D15" s="50"/>
      <x:c r="E15" s="50"/>
      <x:c r="F15" s="50"/>
      <x:c r="G15" s="50"/>
      <x:c r="H15" s="50"/>
    </x:row>
    <x:row r="16" ht="30" customHeight="1">
      <x:c r="A16" s="51" t="str">
        <x:v>Prices are point-in-time observations. Recheck price, stock, seller reputation and exact part number before purchase.</x:v>
      </x:c>
      <x:c r="B16" s="51"/>
      <x:c r="C16" s="51"/>
      <x:c r="D16" s="51"/>
      <x:c r="E16" s="51"/>
      <x:c r="F16" s="51"/>
      <x:c r="G16" s="51"/>
      <x:c r="H16" s="51"/>
    </x:row>
    <x:row r="17" ht="30" customHeight="1">
      <x:c r="A17" s="51" t="str">
        <x:v>Peak memory bandwidth is theoretical. Real decode throughput depends on kernels, quantization, memory access and compute utilization.</x:v>
      </x:c>
      <x:c r="B17" s="51"/>
      <x:c r="C17" s="51"/>
      <x:c r="D17" s="51"/>
      <x:c r="E17" s="51"/>
      <x:c r="F17" s="51"/>
      <x:c r="G17" s="51"/>
      <x:c r="H17" s="51"/>
    </x:row>
    <x:row r="18" ht="30" customHeight="1">
      <x:c r="A18" s="51" t="str">
        <x:v>One-TiB cost formulas count devices or modules only. They exclude hosts, carriers, switches, cooling, power and cables.</x:v>
      </x:c>
      <x:c r="B18" s="51"/>
      <x:c r="C18" s="51"/>
      <x:c r="D18" s="51"/>
      <x:c r="E18" s="51"/>
      <x:c r="F18" s="51"/>
      <x:c r="G18" s="51"/>
      <x:c r="H18" s="51"/>
    </x:row>
    <x:row r="19" ht="30" customHeight="1">
      <x:c r="A19" s="51" t="str">
        <x:v>CPU prices exclude RAM. Maximum CPU memory capacity is a platform limit, not memory included with the processor.</x:v>
      </x:c>
      <x:c r="B19" s="51"/>
      <x:c r="C19" s="51"/>
      <x:c r="D19" s="51"/>
      <x:c r="E19" s="51"/>
      <x:c r="F19" s="51"/>
      <x:c r="G19" s="51"/>
      <x:c r="H19" s="51"/>
    </x:row>
    <x:row r="20" ht="30" customHeight="1">
      <x:c r="A20" s="51" t="str">
        <x:v>Distributed memory is not automatically a unified pool. Tensor or pipeline parallel execution still needs an appropriate interconnect.</x:v>
      </x:c>
      <x:c r="B20" s="51"/>
      <x:c r="C20" s="51"/>
      <x:c r="D20" s="51"/>
      <x:c r="E20" s="51"/>
      <x:c r="F20" s="51"/>
      <x:c r="G20" s="51"/>
      <x:c r="H20" s="51"/>
    </x:row>
    <x:row r="21" ht="30" customHeight="1">
      <x:c r="A21" s="51" t="str">
        <x:v>Blank fields mean the vendor does not publish the value or no credible current price was found.</x:v>
      </x:c>
      <x:c r="B21" s="51"/>
      <x:c r="C21" s="51"/>
      <x:c r="D21" s="51"/>
      <x:c r="E21" s="51"/>
      <x:c r="F21" s="51"/>
      <x:c r="G21" s="51"/>
      <x:c r="H21" s="51"/>
    </x:row>
  </x:sheetData>
  <x:mergeCells>
    <x:mergeCell ref="A16:H16"/>
    <x:mergeCell ref="A17:H17"/>
    <x:mergeCell ref="A18:H18"/>
    <x:mergeCell ref="A19:H19"/>
    <x:mergeCell ref="A20:H20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21" hidden="0" customWidth="1"/>
    <x:col min="4" max="4" width="18" hidden="0" customWidth="1"/>
    <x:col min="5" max="5" width="13" hidden="0" customWidth="1"/>
    <x:col min="6" max="6" width="14.779999732971191" hidden="0" customWidth="1"/>
    <x:col min="7" max="7" width="13.220000267028809" hidden="0" customWidth="1"/>
    <x:col min="8" max="8" width="16.670000076293945" hidden="0" customWidth="1"/>
    <x:col min="9" max="9" width="11.779999732971191" hidden="0" customWidth="1"/>
    <x:col min="10" max="10" width="8" hidden="0" customWidth="1"/>
    <x:col min="11" max="11" width="15.220000267028809" hidden="0" customWidth="1"/>
    <x:col min="12" max="12" width="6.21999979019165" hidden="0" customWidth="1"/>
    <x:col min="13" max="13" width="8.670000076293945" hidden="0" customWidth="1"/>
    <x:col min="14" max="14" width="24" hidden="0" customWidth="1"/>
    <x:col min="15" max="15" width="22" hidden="0" customWidth="1"/>
    <x:col min="16" max="16" width="7.559999942779541" hidden="0" customWidth="1"/>
    <x:col min="17" max="17" width="42" hidden="0" customWidth="1"/>
    <x:col min="18" max="18" width="52" hidden="0" customWidth="1"/>
    <x:col min="19" max="19" width="23" hidden="0" customWidth="1"/>
    <x:col min="20" max="20" width="21" hidden="0" customWidth="1"/>
    <x:col min="21" max="21" width="23" hidden="0" customWidth="1"/>
    <x:col min="22" max="22" width="25" hidden="0" customWidth="1"/>
    <x:col min="23" max="23" width="25" hidden="0" customWidth="1"/>
    <x:col min="24" max="24" width="64" hidden="0" customWidth="1"/>
    <x:col min="25" max="25" width="85" hidden="0" customWidth="1"/>
  </x:cols>
  <x:sheetData>
    <x:row r="2">
      <x:c r="A2" s="1" t="str">
        <x:v>CPU database</x:v>
      </x:c>
    </x:row>
    <x:row r="3" ht="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18" customHeight="1">
      <x:c r="A4" s="24" t="str">
        <x:v>Peak bandwidth is theoretical. CPU prices exclude memory, motherboard, chassis and networking.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</x:row>
    <x:row r="6" ht="48" hidden="0" customHeight="1">
      <x:c r="A6" s="16" t="str">
        <x:v>Vendor</x:v>
      </x:c>
      <x:c r="B6" s="17" t="str">
        <x:v>Model</x:v>
      </x:c>
      <x:c r="C6" s="17" t="str">
        <x:v>Architecture</x:v>
      </x:c>
      <x:c r="D6" s="17" t="str">
        <x:v>Memory type</x:v>
      </x:c>
      <x:c r="E6" s="17" t="str">
        <x:v>Channels / stacks</x:v>
      </x:c>
      <x:c r="F6" s="17" t="str">
        <x:v>Max data rate (MT/s)</x:v>
      </x:c>
      <x:c r="G6" s="17" t="str">
        <x:v>Max memory (GB)</x:v>
      </x:c>
      <x:c r="H6" s="17" t="str">
        <x:v>Peak bandwidth (GB/s)</x:v>
      </x:c>
      <x:c r="I6" s="17" t="str">
        <x:v>PCIe generation</x:v>
      </x:c>
      <x:c r="J6" s="17" t="str">
        <x:v>PCIe lanes</x:v>
      </x:c>
      <x:c r="K6" s="17" t="str">
        <x:v>Socket / form</x:v>
      </x:c>
      <x:c r="L6" s="17" t="str">
        <x:v>TDP (W)</x:v>
      </x:c>
      <x:c r="M6" s="17" t="str">
        <x:v>Price (USD)</x:v>
      </x:c>
      <x:c r="N6" s="17" t="str">
        <x:v>Price basis</x:v>
      </x:c>
      <x:c r="O6" s="17" t="str">
        <x:v>Availability</x:v>
      </x:c>
      <x:c r="P6" s="17" t="str">
        <x:v>Price date</x:v>
      </x:c>
      <x:c r="Q6" s="17" t="str">
        <x:v>Source</x:v>
      </x:c>
      <x:c r="R6" s="18" t="str">
        <x:v>Notes</x:v>
      </x:c>
      <x:c r="S6" s="140" t="str">
        <x:v>NVMe lanes max at CPU gen (1P)</x:v>
      </x:c>
      <x:c r="T6" s="140" t="str">
        <x:v>x4 SSDs (lane-budget max)</x:v>
      </x:c>
      <x:c r="U6" s="140" t="str">
        <x:v>PCIe per lane (GB/s; one way)</x:v>
      </x:c>
      <x:c r="V6" s="140" t="str">
        <x:v>RAID0 PCIe ceiling (GB/s)</x:v>
      </x:c>
      <x:c r="W6" s="140" t="str">
        <x:v>RAID0 PCIe/RAM ceiling (GB/s)</x:v>
      </x:c>
      <x:c r="X6" s="140" t="str">
        <x:v>NVMe lane / RAID0 constraints</x:v>
      </x:c>
      <x:c r="Y6" s="140" t="str">
        <x:v>NVMe lane sources</x:v>
      </x:c>
    </x:row>
    <x:row r="7" ht="60" hidden="0" customHeight="1">
      <x:c r="A7" s="22" t="str">
        <x:v>AMD</x:v>
      </x:c>
      <x:c r="B7" s="22" t="str">
        <x:v>EPYC 9996</x:v>
      </x:c>
      <x:c r="C7" s="22" t="str">
        <x:v>Zen 6 / Venice</x:v>
      </x:c>
      <x:c r="D7" s="22" t="str">
        <x:v>DDR5 / MRDIMM</x:v>
      </x:c>
      <x:c r="E7" s="31" t="n">
        <x:v>16</x:v>
      </x:c>
      <x:c r="F7" s="31" t="n">
        <x:v>12800</x:v>
      </x:c>
      <x:c r="G7" s="31" t="n">
        <x:v>8192</x:v>
      </x:c>
      <x:c r="H7" s="28" t="n">
        <x:v>1638.4</x:v>
      </x:c>
      <x:c r="I7" s="22" t="str">
        <x:v>PCIe 6.0</x:v>
      </x:c>
      <x:c r="J7" s="31" t="n">
        <x:v>96</x:v>
      </x:c>
      <x:c r="K7" s="22" t="str">
        <x:v>SP7</x:v>
      </x:c>
      <x:c r="L7" s="31" t="n">
        <x:v>600</x:v>
      </x:c>
      <x:c r="M7" s="25" t="n">
        <x:v>14904</x:v>
      </x:c>
      <x:c r="N7" s="22" t="str">
        <x:v>1KU list</x:v>
      </x:c>
      <x:c r="O7" s="22" t="str">
        <x:v>Launched; server channel</x:v>
      </x:c>
      <x:c r="P7" s="34" t="d">
        <x:v>2026-10-18T00:00:00.000Z</x:v>
      </x:c>
      <x:c r="Q7" s="37" t="str">
        <x:v>https://www.amd.com/en/blogs/2026/agentic-ai-amd-epyc-9005-cpus-wins-today-epyc-9006.html</x:v>
      </x:c>
      <x:c r="R7" s="22" t="str">
        <x:v>Bandwidth is theoretical at MRDIMM-12800. Max memory is a platform estimate pending a detailed public SKU datasheet.</x:v>
      </x:c>
      <x:c r="S7" s="148" t="n">
        <x:f>J7</x:f>
        <x:v>96</x:v>
      </x:c>
      <x:c r="T7" s="148" t="n">
        <x:f>INT(S7/4)</x:f>
        <x:v>24</x:v>
      </x:c>
      <x:c r="U7" s="149" t="n">
        <x:f>IF(I7="PCIe 6.0",64/8*236/256,IF(I7="PCIe 5.0",32/8*128/130,IF(I7="PCIe 4.0",16/8*128/130,IF(I7="PCIe 3.0",8/8*128/130,""))))</x:f>
        <x:v>7.375</x:v>
      </x:c>
      <x:c r="V7" s="150" t="n">
        <x:f>T7*4*U7</x:f>
        <x:v>708</x:v>
      </x:c>
      <x:c r="W7" s="150" t="n">
        <x:f>MIN(V7,H7)</x:f>
        <x:v>708</x:v>
      </x:c>
      <x:c r="X7" s="144" t="str">
        <x:v>96 Gen6 lanes: conditional CPU budget; board/root-port fan-out unverified. Requires Gen6 SSDs for this ceiling; Gen5 SSDs cap these lanes at 378.1 GB/s.</x:v>
      </x:c>
      <x:c r="Y7" s="144" t="str">
        <x:v>https://www.amd.com/en/products/processors/server/epyc/9006-series/amd-epyc-9996.html</x:v>
      </x:c>
    </x:row>
    <x:row r="8" ht="60" hidden="0" customHeight="1">
      <x:c r="A8" s="21" t="str">
        <x:v>AMD</x:v>
      </x:c>
      <x:c r="B8" s="21" t="str">
        <x:v>EPYC 9965</x:v>
      </x:c>
      <x:c r="C8" s="21" t="str">
        <x:v>Zen 5c / Turin Dense</x:v>
      </x:c>
      <x:c r="D8" s="21" t="str">
        <x:v>DDR5 RDIMM</x:v>
      </x:c>
      <x:c r="E8" s="32" t="n">
        <x:v>12</x:v>
      </x:c>
      <x:c r="F8" s="32" t="n">
        <x:v>6400</x:v>
      </x:c>
      <x:c r="G8" s="32" t="n">
        <x:v>6144</x:v>
      </x:c>
      <x:c r="H8" s="29" t="n">
        <x:v>614</x:v>
      </x:c>
      <x:c r="I8" s="21" t="str">
        <x:v>PCIe 5.0</x:v>
      </x:c>
      <x:c r="J8" s="32" t="n">
        <x:v>128</x:v>
      </x:c>
      <x:c r="K8" s="21" t="str">
        <x:v>SP5</x:v>
      </x:c>
      <x:c r="L8" s="32" t="n">
        <x:v>500</x:v>
      </x:c>
      <x:c r="M8" s="26" t="n">
        <x:v>11988</x:v>
      </x:c>
      <x:c r="N8" s="21" t="str">
        <x:v>1KU list</x:v>
      </x:c>
      <x:c r="O8" s="21" t="str">
        <x:v>Launched; server channel</x:v>
      </x:c>
      <x:c r="P8" s="35" t="d">
        <x:v>2026-10-18T00:00:00.000Z</x:v>
      </x:c>
      <x:c r="Q8" s="38" t="str">
        <x:v>https://www.amd.com/en/products/processors/server/epyc/9005-series/amd-epyc-9965.html</x:v>
      </x:c>
      <x:c r="R8" s="21" t="str">
        <x:v>Six TB DDR5 per socket. AMD also documents up to 2 TB of CXL memory beyond DDR capacity.</x:v>
      </x:c>
      <x:c r="S8" s="158" t="n">
        <x:f>J8</x:f>
        <x:v>128</x:v>
      </x:c>
      <x:c r="T8" s="158" t="n">
        <x:f>INT(S8/4)</x:f>
        <x:v>32</x:v>
      </x:c>
      <x:c r="U8" s="159" t="n">
        <x:f>IF(I8="PCIe 6.0",64/8*236/256,IF(I8="PCIe 5.0",32/8*128/130,IF(I8="PCIe 4.0",16/8*128/130,IF(I8="PCIe 3.0",8/8*128/130,""))))</x:f>
        <x:v>3.9384615384615387</x:v>
      </x:c>
      <x:c r="V8" s="160" t="n">
        <x:f>T8*4*U8</x:f>
        <x:v>504.12307692307695</x:v>
      </x:c>
      <x:c r="W8" s="160" t="n">
        <x:f>MIN(V8,H8)</x:f>
        <x:v>504.12307692307695</x:v>
      </x:c>
      <x:c r="X8" s="154" t="str">
        <x:v>128 Gen5 lanes in 1P, assuming all routed to NVMe. SATA, CXL and other devices share platform resources; 2P routing differs.</x:v>
      </x:c>
      <x:c r="Y8" s="154" t="str">
        <x:v>https://www.amd.com/en/products/processors/server/epyc/9005-series/amd-epyc-9965.html</x:v>
      </x:c>
    </x:row>
    <x:row r="9" ht="60" hidden="0" customHeight="1">
      <x:c r="A9" s="23" t="str">
        <x:v>Intel</x:v>
      </x:c>
      <x:c r="B9" s="23" t="str">
        <x:v>Xeon 6980P</x:v>
      </x:c>
      <x:c r="C9" s="23" t="str">
        <x:v>Granite Rapids</x:v>
      </x:c>
      <x:c r="D9" s="23" t="str">
        <x:v>DDR5 / MRDIMM</x:v>
      </x:c>
      <x:c r="E9" s="33" t="n">
        <x:v>12</x:v>
      </x:c>
      <x:c r="F9" s="33" t="n">
        <x:v>8800</x:v>
      </x:c>
      <x:c r="G9" s="33" t="n">
        <x:v>3072</x:v>
      </x:c>
      <x:c r="H9" s="30" t="n">
        <x:v>844.8</x:v>
      </x:c>
      <x:c r="I9" s="23" t="str">
        <x:v>PCIe 5.0</x:v>
      </x:c>
      <x:c r="J9" s="33" t="n">
        <x:v>96</x:v>
      </x:c>
      <x:c r="K9" s="23" t="str">
        <x:v>FCLGA7529</x:v>
      </x:c>
      <x:c r="L9" s="33" t="n">
        <x:v>500</x:v>
      </x:c>
      <x:c r="M9" s="27" t="n">
        <x:v>13955</x:v>
      </x:c>
      <x:c r="N9" s="23" t="str">
        <x:v>Recommended customer price</x:v>
      </x:c>
      <x:c r="O9" s="23" t="str">
        <x:v>Launched; server channel</x:v>
      </x:c>
      <x:c r="P9" s="36" t="d">
        <x:v>2026-10-18T00:00:00.000Z</x:v>
      </x:c>
      <x:c r="Q9" s="39" t="str">
        <x:v>https://www.intel.com/content/www/us/en/products/sku/240777/intel-xeon-6980p-processor-504m-cache-2-00-ghz/specifications.html</x:v>
      </x:c>
      <x:c r="R9" s="23" t="str">
        <x:v>844.8 GB/s assumes 12 channels at MRDIMM-8800. DDR5-6400 yields 614.4 GB/s.</x:v>
      </x:c>
      <x:c r="S9" s="148" t="n">
        <x:f>J9</x:f>
        <x:v>96</x:v>
      </x:c>
      <x:c r="T9" s="148" t="n">
        <x:f>INT(S9/4)</x:f>
        <x:v>24</x:v>
      </x:c>
      <x:c r="U9" s="149" t="n">
        <x:f>IF(I9="PCIe 6.0",64/8*236/256,IF(I9="PCIe 5.0",32/8*128/130,IF(I9="PCIe 4.0",16/8*128/130,IF(I9="PCIe 3.0",8/8*128/130,""))))</x:f>
        <x:v>3.9384615384615387</x:v>
      </x:c>
      <x:c r="V9" s="150" t="n">
        <x:f>T9*4*U9</x:f>
        <x:v>378.0923076923077</x:v>
      </x:c>
      <x:c r="W9" s="150" t="n">
        <x:f>MIN(V9,H9)</x:f>
        <x:v>378.0923076923077</x:v>
      </x:c>
      <x:c r="X9" s="144" t="str">
        <x:v>96 Gen5 lanes per CPU. Drive count is a lane-budget equivalent; suitable root ports, bifurcation or switches and board wiring required.</x:v>
      </x:c>
      <x:c r="Y9" s="144" t="str">
        <x:v>https://www.intel.com/content/www/us/en/products/sku/240777/intel-xeon-6980p-processor-504m-cache-2-00-ghz/specifications.html</x:v>
      </x:c>
    </x:row>
    <x:row r="10" ht="60" hidden="0" customHeight="1">
      <x:c r="A10" s="21" t="str">
        <x:v>AMD</x:v>
      </x:c>
      <x:c r="B10" s="21" t="str">
        <x:v>EPYC 9654</x:v>
      </x:c>
      <x:c r="C10" s="21" t="str">
        <x:v>Zen 4 / Genoa</x:v>
      </x:c>
      <x:c r="D10" s="21" t="str">
        <x:v>DDR5 RDIMM</x:v>
      </x:c>
      <x:c r="E10" s="32" t="n">
        <x:v>12</x:v>
      </x:c>
      <x:c r="F10" s="32" t="n">
        <x:v>4800</x:v>
      </x:c>
      <x:c r="G10" s="32" t="n">
        <x:v>6144</x:v>
      </x:c>
      <x:c r="H10" s="29" t="n">
        <x:v>460.8</x:v>
      </x:c>
      <x:c r="I10" s="21" t="str">
        <x:v>PCIe 5.0</x:v>
      </x:c>
      <x:c r="J10" s="32" t="n">
        <x:v>128</x:v>
      </x:c>
      <x:c r="K10" s="21" t="str">
        <x:v>SP5</x:v>
      </x:c>
      <x:c r="L10" s="32" t="n">
        <x:v>360</x:v>
      </x:c>
      <x:c r="M10" s="26" t="n">
        <x:v>8452</x:v>
      </x:c>
      <x:c r="N10" s="21" t="str">
        <x:v>1KU list</x:v>
      </x:c>
      <x:c r="O10" s="21" t="str">
        <x:v>Launched; broadly available</x:v>
      </x:c>
      <x:c r="P10" s="35" t="d">
        <x:v>2026-10-18T00:00:00.000Z</x:v>
      </x:c>
      <x:c r="Q10" s="38" t="str">
        <x:v>https://www.amd.com/en/products/processors/server/epyc/4th-generation-9004-and-8004-series/amd-epyc-9654.html</x:v>
      </x:c>
      <x:c r="R10" s="21" t="str">
        <x:v>CPU price excludes motherboard and twelve or twenty-four DIMMs.</x:v>
      </x:c>
      <x:c r="S10" s="158" t="n">
        <x:f>J10</x:f>
        <x:v>128</x:v>
      </x:c>
      <x:c r="T10" s="158" t="n">
        <x:f>INT(S10/4)</x:f>
        <x:v>32</x:v>
      </x:c>
      <x:c r="U10" s="159" t="n">
        <x:f>IF(I10="PCIe 6.0",64/8*236/256,IF(I10="PCIe 5.0",32/8*128/130,IF(I10="PCIe 4.0",16/8*128/130,IF(I10="PCIe 3.0",8/8*128/130,""))))</x:f>
        <x:v>3.9384615384615387</x:v>
      </x:c>
      <x:c r="V10" s="160" t="n">
        <x:f>T10*4*U10</x:f>
        <x:v>504.12307692307695</x:v>
      </x:c>
      <x:c r="W10" s="160" t="n">
        <x:f>MIN(V10,H10)</x:f>
        <x:v>460.8</x:v>
      </x:c>
      <x:c r="X10" s="154" t="str">
        <x:v>128 Gen5 lanes in 1P, assuming all routed to NVMe. Platform SATA/other I/O reduces available lanes; 2P routing differs.</x:v>
      </x:c>
      <x:c r="Y10" s="154" t="str">
        <x:v>https://www.amd.com/en/products/processors/server/epyc/4th-generation-9004-and-8004-series/amd-epyc-9654.html</x:v>
      </x:c>
    </x:row>
    <x:row r="11" ht="60" hidden="0" customHeight="1">
      <x:c r="A11" s="23" t="str">
        <x:v>AMD</x:v>
      </x:c>
      <x:c r="B11" s="23" t="str">
        <x:v>Threadripper PRO 9995WX</x:v>
      </x:c>
      <x:c r="C11" s="23" t="str">
        <x:v>Zen 5</x:v>
      </x:c>
      <x:c r="D11" s="23" t="str">
        <x:v>DDR5 ECC RDIMM</x:v>
      </x:c>
      <x:c r="E11" s="33" t="n">
        <x:v>8</x:v>
      </x:c>
      <x:c r="F11" s="33" t="n">
        <x:v>6400</x:v>
      </x:c>
      <x:c r="G11" s="33" t="n">
        <x:v>2048</x:v>
      </x:c>
      <x:c r="H11" s="30" t="n">
        <x:v>409.6</x:v>
      </x:c>
      <x:c r="I11" s="23" t="str">
        <x:v>PCIe 5.0</x:v>
      </x:c>
      <x:c r="J11" s="33" t="n">
        <x:v>128</x:v>
      </x:c>
      <x:c r="K11" s="23" t="str">
        <x:v>sTR5 / WRX90</x:v>
      </x:c>
      <x:c r="L11" s="33" t="n">
        <x:v>350</x:v>
      </x:c>
      <x:c r="M11" s="27" t="n">
        <x:v>11699</x:v>
      </x:c>
      <x:c r="N11" s="23" t="str">
        <x:v>Launch MSRP</x:v>
      </x:c>
      <x:c r="O11" s="23" t="str">
        <x:v>Retail workstation channel</x:v>
      </x:c>
      <x:c r="P11" s="36" t="d">
        <x:v>2026-10-18T00:00:00.000Z</x:v>
      </x:c>
      <x:c r="Q11" s="39" t="str">
        <x:v>https://www.amd.com/en/products/processors/workstations/ryzen-threadripper.html</x:v>
      </x:c>
      <x:c r="R11" s="23" t="str">
        <x:v>Workstation platform. Maximum capacity depends on the WRX90 motherboard and supported RDIMMs.</x:v>
      </x:c>
      <x:c r="S11" s="148" t="n">
        <x:f>J11</x:f>
        <x:v>128</x:v>
      </x:c>
      <x:c r="T11" s="148" t="n">
        <x:f>INT(S11/4)</x:f>
        <x:v>32</x:v>
      </x:c>
      <x:c r="U11" s="149" t="n">
        <x:f>IF(I11="PCIe 6.0",64/8*236/256,IF(I11="PCIe 5.0",32/8*128/130,IF(I11="PCIe 4.0",16/8*128/130,IF(I11="PCIe 3.0",8/8*128/130,""))))</x:f>
        <x:v>3.9384615384615387</x:v>
      </x:c>
      <x:c r="V11" s="150" t="n">
        <x:f>T11*4*U11</x:f>
        <x:v>504.12307692307695</x:v>
      </x:c>
      <x:c r="W11" s="150" t="n">
        <x:f>MIN(V11,H11)</x:f>
        <x:v>409.6</x:v>
      </x:c>
      <x:c r="X11" s="144" t="str">
        <x:v>128 Gen5 lanes only, on WRX90; excludes slower chipset lanes sharing their uplink. TRX50 exposes fewer lanes; subtract board NIC/GPU allocations.</x:v>
      </x:c>
      <x:c r="Y11" s="144" t="str">
        <x:v>https://www.amd.com/en/products/processors/workstations/ryzen-threadripper/9000-wx-series/amd-ryzen-threadripper-pro-9995wx.html
https://www.asus.com/motherboards-components/motherboards/workstation/pro-ws-wrx90e-sage-se/techspec/</x:v>
      </x:c>
    </x:row>
    <x:row r="12" ht="60" hidden="0" customHeight="1">
      <x:c r="A12" s="21" t="str">
        <x:v>Intel</x:v>
      </x:c>
      <x:c r="B12" s="21" t="str">
        <x:v>Xeon Platinum 8592+</x:v>
      </x:c>
      <x:c r="C12" s="21" t="str">
        <x:v>Emerald Rapids</x:v>
      </x:c>
      <x:c r="D12" s="21" t="str">
        <x:v>DDR5 RDIMM</x:v>
      </x:c>
      <x:c r="E12" s="32" t="n">
        <x:v>8</x:v>
      </x:c>
      <x:c r="F12" s="32" t="n">
        <x:v>5600</x:v>
      </x:c>
      <x:c r="G12" s="32" t="n">
        <x:v>4096</x:v>
      </x:c>
      <x:c r="H12" s="29" t="n">
        <x:v>358.4</x:v>
      </x:c>
      <x:c r="I12" s="21" t="str">
        <x:v>PCIe 5.0</x:v>
      </x:c>
      <x:c r="J12" s="32" t="n">
        <x:v>80</x:v>
      </x:c>
      <x:c r="K12" s="21" t="str">
        <x:v>FCLGA4677</x:v>
      </x:c>
      <x:c r="L12" s="32" t="n">
        <x:v>350</x:v>
      </x:c>
      <x:c r="M12" s="26" t="n">
        <x:v>2280</x:v>
      </x:c>
      <x:c r="N12" s="21" t="str">
        <x:v>Observed 2025 retail discount</x:v>
      </x:c>
      <x:c r="O12" s="21" t="str">
        <x:v>Retail and server channel</x:v>
      </x:c>
      <x:c r="P12" s="35" t="d">
        <x:v>2026-10-18T00:00:00.000Z</x:v>
      </x:c>
      <x:c r="Q12" s="38" t="str">
        <x:v>https://www.tomshardware.com/pc-components/cpus/retailers-quietly-slash-prices-of-amds-and-intels-latest-epyc-and-xeon-cpus-by-up-to-50-percent-inexplicable-price-drops-left-unexplained</x:v>
      </x:c>
      <x:c r="R12" s="21" t="str">
        <x:v>Vendor RCP was much higher. Recheck current distributor stock before purchase.</x:v>
      </x:c>
      <x:c r="S12" s="158" t="n">
        <x:f>J12</x:f>
        <x:v>80</x:v>
      </x:c>
      <x:c r="T12" s="158" t="n">
        <x:f>INT(S12/4)</x:f>
        <x:v>20</x:v>
      </x:c>
      <x:c r="U12" s="159" t="n">
        <x:f>IF(I12="PCIe 6.0",64/8*236/256,IF(I12="PCIe 5.0",32/8*128/130,IF(I12="PCIe 4.0",16/8*128/130,IF(I12="PCIe 3.0",8/8*128/130,""))))</x:f>
        <x:v>3.9384615384615387</x:v>
      </x:c>
      <x:c r="V12" s="160" t="n">
        <x:f>T12*4*U12</x:f>
        <x:v>315.0769230769231</x:v>
      </x:c>
      <x:c r="W12" s="160" t="n">
        <x:f>MIN(V12,H12)</x:f>
        <x:v>315.0769230769231</x:v>
      </x:c>
      <x:c r="X12" s="154" t="str">
        <x:v>80 Gen5 lanes per CPU; all-NVMe CPU budget, subject to board/root-port topology. Software RAID0 can span controllers; firmware RAID limits vary.</x:v>
      </x:c>
      <x:c r="Y12" s="154" t="str">
        <x:v>https://www.intel.com/content/www/us/en/products/sku/237261/intel-xeon-platinum-8592-processor-320m-cache-1-90-ghz/specifications.html</x:v>
      </x:c>
    </x:row>
    <x:row r="13" ht="60" hidden="0" customHeight="1">
      <x:c r="A13" s="23" t="str">
        <x:v>AMD</x:v>
      </x:c>
      <x:c r="B13" s="23" t="str">
        <x:v>EPYC 7742</x:v>
      </x:c>
      <x:c r="C13" s="23" t="str">
        <x:v>Zen 2 / Rome</x:v>
      </x:c>
      <x:c r="D13" s="23" t="str">
        <x:v>DDR4 RDIMM</x:v>
      </x:c>
      <x:c r="E13" s="33" t="n">
        <x:v>8</x:v>
      </x:c>
      <x:c r="F13" s="33" t="n">
        <x:v>3200</x:v>
      </x:c>
      <x:c r="G13" s="33" t="n">
        <x:v>4096</x:v>
      </x:c>
      <x:c r="H13" s="30" t="n">
        <x:v>204.8</x:v>
      </x:c>
      <x:c r="I13" s="23" t="str">
        <x:v>PCIe 4.0</x:v>
      </x:c>
      <x:c r="J13" s="33" t="n">
        <x:v>128</x:v>
      </x:c>
      <x:c r="K13" s="23" t="str">
        <x:v>SP3</x:v>
      </x:c>
      <x:c r="L13" s="33" t="n">
        <x:v>225</x:v>
      </x:c>
      <x:c r="M13" s="27" t="n">
        <x:v>800</x:v>
      </x:c>
      <x:c r="N13" s="23" t="str">
        <x:v>Typical used estimate</x:v>
      </x:c>
      <x:c r="O13" s="23" t="str">
        <x:v>Common on used market</x:v>
      </x:c>
      <x:c r="P13" s="36" t="d">
        <x:v>2026-10-18T00:00:00.000Z</x:v>
      </x:c>
      <x:c r="Q13" s="39" t="str">
        <x:v>https://www.amd.com/en/products/processors/server/epyc/7002-series.html</x:v>
      </x:c>
      <x:c r="R13" s="23" t="str">
        <x:v>Used price varies strongly with locking status and seller testing.</x:v>
      </x:c>
      <x:c r="S13" s="148" t="n">
        <x:f>J13</x:f>
        <x:v>128</x:v>
      </x:c>
      <x:c r="T13" s="148" t="n">
        <x:f>INT(S13/4)</x:f>
        <x:v>32</x:v>
      </x:c>
      <x:c r="U13" s="149" t="n">
        <x:f>IF(I13="PCIe 6.0",64/8*236/256,IF(I13="PCIe 5.0",32/8*128/130,IF(I13="PCIe 4.0",16/8*128/130,IF(I13="PCIe 3.0",8/8*128/130,""))))</x:f>
        <x:v>1.9692307692307693</x:v>
      </x:c>
      <x:c r="V13" s="150" t="n">
        <x:f>T13*4*U13</x:f>
        <x:v>252.06153846153848</x:v>
      </x:c>
      <x:c r="W13" s="150" t="n">
        <x:f>MIN(V13,H13)</x:f>
        <x:v>204.8</x:v>
      </x:c>
      <x:c r="X13" s="144" t="str">
        <x:v>128 Gen4 lanes in 1P; shared platform I/O reduces storage lanes. 2P uses I/O resources for inter-socket links. RAM ceiling below PCIe ceiling.</x:v>
      </x:c>
      <x:c r="Y13" s="144" t="str">
        <x:v>https://www.amd.com/ja/support/downloads/drivers.html/processors/epyc/epyc-7002-series/amd-epyc-7742.html</x:v>
      </x:c>
    </x:row>
    <x:row r="14" ht="60" hidden="0" customHeight="1">
      <x:c r="A14" s="21" t="str">
        <x:v>Fujitsu</x:v>
      </x:c>
      <x:c r="B14" s="21" t="str">
        <x:v>A64FX</x:v>
      </x:c>
      <x:c r="C14" s="21" t="str">
        <x:v>Armv8.2-A SVE</x:v>
      </x:c>
      <x:c r="D14" s="21" t="str">
        <x:v>HBM2</x:v>
      </x:c>
      <x:c r="E14" s="32" t="n">
        <x:v>4</x:v>
      </x:c>
      <x:c r="F14" s="32"/>
      <x:c r="G14" s="32" t="n">
        <x:v>32</x:v>
      </x:c>
      <x:c r="H14" s="29" t="n">
        <x:v>1024</x:v>
      </x:c>
      <x:c r="I14" s="21" t="str">
        <x:v>PCIe 3.0</x:v>
      </x:c>
      <x:c r="J14" s="32" t="n">
        <x:v>16</x:v>
      </x:c>
      <x:c r="K14" s="21" t="str">
        <x:v>Soldered CPU module</x:v>
      </x:c>
      <x:c r="L14" s="32" t="n">
        <x:v>150</x:v>
      </x:c>
      <x:c r="M14" s="26"/>
      <x:c r="N14" s="21" t="str">
        <x:v>Quote only</x:v>
      </x:c>
      <x:c r="O14" s="21" t="str">
        <x:v>Only in Fujitsu/HPE systems</x:v>
      </x:c>
      <x:c r="P14" s="35" t="d">
        <x:v>2026-10-18T00:00:00.000Z</x:v>
      </x:c>
      <x:c r="Q14" s="38" t="str">
        <x:v>https://global.fujitsu/en-global/technology/research/fugaku/specifications</x:v>
      </x:c>
      <x:c r="R14" s="21" t="str">
        <x:v>HBM capacity is fixed. PCIe is primarily for I/O rather than large accelerator fan-out.</x:v>
      </x:c>
      <x:c r="S14" s="158" t="n">
        <x:f>J14</x:f>
        <x:v>16</x:v>
      </x:c>
      <x:c r="T14" s="158" t="n">
        <x:f>INT(S14/4)</x:f>
        <x:v>4</x:v>
      </x:c>
      <x:c r="U14" s="159" t="n">
        <x:f>IF(I14="PCIe 6.0",64/8*236/256,IF(I14="PCIe 5.0",32/8*128/130,IF(I14="PCIe 4.0",16/8*128/130,IF(I14="PCIe 3.0",8/8*128/130,""))))</x:f>
        <x:v>0.9846153846153847</x:v>
      </x:c>
      <x:c r="V14" s="160" t="n">
        <x:f>T14*4*U14</x:f>
        <x:v>15.753846153846155</x:v>
      </x:c>
      <x:c r="W14" s="160" t="n">
        <x:f>MIN(V14,H14)</x:f>
        <x:v>15.753846153846155</x:v>
      </x:c>
      <x:c r="X14" s="154" t="str">
        <x:v>16 Gen3 lanes total; 4 x4 SSDs are a switched fan-out equivalent, not verified direct ports. A64FX system may reserve link for fabric/NIC; NVMe availability unverified.</x:v>
      </x:c>
      <x:c r="Y14" s="154" t="str">
        <x:v>https://global.fujitsu/ja-JP/technology/research/fugaku/specifications</x:v>
      </x:c>
    </x:row>
    <x:row r="15" ht="120" customHeight="1">
      <x:c r="A15" s="65" t="str">
        <x:v>Ampere</x:v>
      </x:c>
      <x:c r="B15" s="65" t="str">
        <x:v>AmpereOne M A192-32M</x:v>
      </x:c>
      <x:c r="C15" s="65" t="str">
        <x:v>Armv8.6+; 192 cores at 3.2 GHz</x:v>
      </x:c>
      <x:c r="D15" s="65" t="str">
        <x:v>DDR5 ECC RDIMM</x:v>
      </x:c>
      <x:c r="E15" s="66" t="n">
        <x:v>12</x:v>
      </x:c>
      <x:c r="F15" s="66" t="n">
        <x:v>5600</x:v>
      </x:c>
      <x:c r="G15" s="66" t="n">
        <x:v>1536</x:v>
      </x:c>
      <x:c r="H15" s="67" t="n">
        <x:f>E15*F15*8/1000</x:f>
        <x:v>537.6</x:v>
      </x:c>
      <x:c r="I15" s="65" t="str">
        <x:v>PCIe 5.0</x:v>
      </x:c>
      <x:c r="J15" s="66" t="n">
        <x:v>96</x:v>
      </x:c>
      <x:c r="K15" s="65" t="str">
        <x:v>FCLGA7228</x:v>
      </x:c>
      <x:c r="L15" s="66" t="n">
        <x:v>425</x:v>
      </x:c>
      <x:c r="M15" s="68" t="n">
        <x:v>5119</x:v>
      </x:c>
      <x:c r="N15" s="65" t="str">
        <x:v>DataBit listed price; out of stock</x:v>
      </x:c>
      <x:c r="O15" s="65" t="str">
        <x:v>Launched; listed seller out of stock</x:v>
      </x:c>
      <x:c r="P15" s="77" t="d">
        <x:v>2026-10-18T00:00:00.000Z</x:v>
      </x:c>
      <x:c r="Q15" s="70" t="str">
        <x:v>Specs: https://amperecomputing.com/en/briefs/ampereone-m-product-brief
Price: https://shop.databitinc.com/Products/overview/M026114271
TDP (CPU QVL): https://www.gigabyte.com/Enterprise/Rack-Server/R2A3-T40-AAV1/Support-QVL</x:v>
      </x:c>
      <x:c r="R15" s="65" t="str">
        <x:v>1 DIMM/channel. Capacity uses 1024 GB/TB. TDP: 425 W, explicitly listed for A192-32M in GIGABYTE R2A3-T40-AAV1 CPU QVL (updated 2026-03-05; checked 2026-10-18). Ampere’s 348 W is benchmark usage power, not TDP. Price is for AC-S40070; excludes RAM and platform.</x:v>
      </x:c>
      <x:c r="S15" s="148" t="n">
        <x:f>J15</x:f>
        <x:v>96</x:v>
      </x:c>
      <x:c r="T15" s="148" t="n">
        <x:f>INT(S15/4)</x:f>
        <x:v>24</x:v>
      </x:c>
      <x:c r="U15" s="149" t="n">
        <x:f>IF(I15="PCIe 6.0",64/8*236/256,IF(I15="PCIe 5.0",32/8*128/130,IF(I15="PCIe 4.0",16/8*128/130,IF(I15="PCIe 3.0",8/8*128/130,""))))</x:f>
        <x:v>3.9384615384615387</x:v>
      </x:c>
      <x:c r="V15" s="150" t="n">
        <x:f>T15*4*U15</x:f>
        <x:v>378.0923076923077</x:v>
      </x:c>
      <x:c r="W15" s="150" t="n">
        <x:f>MIN(V15,H15)</x:f>
        <x:v>378.0923076923077</x:v>
      </x:c>
      <x:c r="X15" s="144" t="str">
        <x:v>96 Gen5 lanes; 24 controllers, bifurcation down to x4. 24 x4 SSDs require board/backplane exposing every controller; subtract NIC/other I/O.</x:v>
      </x:c>
      <x:c r="Y15" s="144" t="str">
        <x:v>https://amperecomputing.com/en/briefs/ampereone-m-product-brief</x:v>
      </x:c>
    </x:row>
    <x:row r="16" ht="120" customHeight="1">
      <x:c r="A16" s="71" t="str">
        <x:v>Ampere</x:v>
      </x:c>
      <x:c r="B16" s="71" t="str">
        <x:v>AmpereOne A192-32X</x:v>
      </x:c>
      <x:c r="C16" s="71" t="str">
        <x:v>Armv8.6+; 192 cores at 3.2 GHz</x:v>
      </x:c>
      <x:c r="D16" s="71" t="str">
        <x:v>DDR5 ECC RDIMM</x:v>
      </x:c>
      <x:c r="E16" s="72" t="n">
        <x:v>8</x:v>
      </x:c>
      <x:c r="F16" s="72" t="n">
        <x:v>5200</x:v>
      </x:c>
      <x:c r="G16" s="72" t="n">
        <x:v>4096</x:v>
      </x:c>
      <x:c r="H16" s="73" t="n">
        <x:f>E16*F16*8/1000</x:f>
        <x:v>332.8</x:v>
      </x:c>
      <x:c r="I16" s="71" t="str">
        <x:v>PCIe 5.0</x:v>
      </x:c>
      <x:c r="J16" s="72" t="n">
        <x:v>128</x:v>
      </x:c>
      <x:c r="K16" s="71" t="str">
        <x:v>FCLGA5964</x:v>
      </x:c>
      <x:c r="L16" s="72" t="n">
        <x:v>400</x:v>
      </x:c>
      <x:c r="M16" s="74" t="n">
        <x:v>5770</x:v>
      </x:c>
      <x:c r="N16" s="71" t="str">
        <x:v>NeweggBusiness listed; out of stock</x:v>
      </x:c>
      <x:c r="O16" s="71" t="str">
        <x:v>Launched; listed seller out of stock</x:v>
      </x:c>
      <x:c r="P16" s="78" t="d">
        <x:v>2026-10-18T00:00:00.000Z</x:v>
      </x:c>
      <x:c r="Q16" s="76" t="str">
        <x:v>Specs: https://amperecomputing.com/en/briefs/ampereone-family-product-brief
Price: https://www.neweggbusiness.com/ampereone-a192-32x-3-2ghz-192-core-276w-lga-5964/p/9B-19-999-013
TDP (CPU QVL): https://www.gigabyte.com/ie/Enterprise/Rack-Server/R163-P32-AAH1/Support-QVL</x:v>
      </x:c>
      <x:c r="R16" s="71" t="str">
        <x:v>1 or 2 DIMMs/channel; maximum speed depends on DIMM population. Capacity uses 1024 GB/TB. TDP: 400 W, explicitly listed for A192-32X in GIGABYTE R163-P32-AAH1 CPU QVL (updated 2026-06-28; checked 2026-10-18). Ampere’s 283 W is benchmark usage power, not TDP. Price excludes RAM and platform.</x:v>
      </x:c>
      <x:c r="S16" s="158" t="n">
        <x:f>J16</x:f>
        <x:v>128</x:v>
      </x:c>
      <x:c r="T16" s="158" t="n">
        <x:f>INT(S16/4)</x:f>
        <x:v>32</x:v>
      </x:c>
      <x:c r="U16" s="159" t="n">
        <x:f>IF(I16="PCIe 6.0",64/8*236/256,IF(I16="PCIe 5.0",32/8*128/130,IF(I16="PCIe 4.0",16/8*128/130,IF(I16="PCIe 3.0",8/8*128/130,""))))</x:f>
        <x:v>3.9384615384615387</x:v>
      </x:c>
      <x:c r="V16" s="160" t="n">
        <x:f>T16*4*U16</x:f>
        <x:v>504.12307692307695</x:v>
      </x:c>
      <x:c r="W16" s="160" t="n">
        <x:f>MIN(V16,H16)</x:f>
        <x:v>332.8</x:v>
      </x:c>
      <x:c r="X16" s="154" t="str">
        <x:v>128 Gen5 lanes in 1P; 32 controllers, x4 fan-out. 32 x4 SSDs require full board exposure. Reserve lanes for NICs; multi-socket topology differs.</x:v>
      </x:c>
      <x:c r="Y16" s="154" t="str">
        <x:v>https://amperecomputing.com/en/briefs/ampereone-family-product-brief</x:v>
      </x:c>
    </x:row>
    <x:row r="17" ht="120" customHeight="1">
      <x:c r="A17" s="79" t="str">
        <x:v>Ampere</x:v>
      </x:c>
      <x:c r="B17" s="79" t="str">
        <x:v>Altra Max M128-30</x:v>
      </x:c>
      <x:c r="C17" s="79" t="str">
        <x:v>Armv8.2+; 128 cores at 3.0 GHz</x:v>
      </x:c>
      <x:c r="D17" s="79" t="str">
        <x:v>DDR4 ECC RDIMM / LRDIMM</x:v>
      </x:c>
      <x:c r="E17" s="80" t="n">
        <x:v>8</x:v>
      </x:c>
      <x:c r="F17" s="80" t="n">
        <x:v>3200</x:v>
      </x:c>
      <x:c r="G17" s="80" t="n">
        <x:v>4096</x:v>
      </x:c>
      <x:c r="H17" s="81" t="n">
        <x:f>E17*F17*8/1000</x:f>
        <x:v>204.8</x:v>
      </x:c>
      <x:c r="I17" s="79" t="str">
        <x:v>PCIe 4.0</x:v>
      </x:c>
      <x:c r="J17" s="80" t="n">
        <x:v>128</x:v>
      </x:c>
      <x:c r="K17" s="79" t="str">
        <x:v>FCLGA4926</x:v>
      </x:c>
      <x:c r="L17" s="80" t="n">
        <x:v>250</x:v>
      </x:c>
      <x:c r="M17" s="85" t="n">
        <x:v>2299.99</x:v>
      </x:c>
      <x:c r="N17" s="79" t="str">
        <x:v>Newegg listed price; out of stock</x:v>
      </x:c>
      <x:c r="O17" s="79" t="str">
        <x:v>Launched; listed seller out of stock</x:v>
      </x:c>
      <x:c r="P17" s="83" t="d">
        <x:v>2026-10-18T00:00:00.000Z</x:v>
      </x:c>
      <x:c r="Q17" s="84" t="str">
        <x:v>Specs / TDP: Ampere datasheet v1.05, pp. 1, 7, 11: https://d1o0i0v5q5lp8h.cloudfront.net/ampere/live/assets/documents/Altra_Max_Rev_A1_DS_v1.05_20220728.pdf
Price: https://www.newegg.com/ampere-altra-max-lga-4926/p/N82E16819999002</x:v>
      </x:c>
      <x:c r="R17" s="79" t="str">
        <x:v>128 cores / 128 threads; 1 MB L2/core; 16 MB system cache; TSMC 7 nm. Up to 16 DIMMs (2DPC), 4 TB/socket (4096 GB by table convention). Bandwidth counts 64 data bits/channel, excluding ECC. 128 PCIe lanes in 1P; 2P uses lanes for CCIX (192 external lanes/system). 250 W is SKU TDP, distinct from benchmark usage power. Part AC-212825002; price excludes RAM and platform.</x:v>
      </x:c>
      <x:c r="S17" s="148" t="n">
        <x:f>J17</x:f>
        <x:v>128</x:v>
      </x:c>
      <x:c r="T17" s="148" t="n">
        <x:f>INT(S17/4)</x:f>
        <x:v>32</x:v>
      </x:c>
      <x:c r="U17" s="149" t="n">
        <x:f>IF(I17="PCIe 6.0",64/8*236/256,IF(I17="PCIe 5.0",32/8*128/130,IF(I17="PCIe 4.0",16/8*128/130,IF(I17="PCIe 3.0",8/8*128/130,""))))</x:f>
        <x:v>1.9692307692307693</x:v>
      </x:c>
      <x:c r="V17" s="150" t="n">
        <x:f>T17*4*U17</x:f>
        <x:v>252.06153846153848</x:v>
      </x:c>
      <x:c r="W17" s="150" t="n">
        <x:f>MIN(V17,H17)</x:f>
        <x:v>204.8</x:v>
      </x:c>
      <x:c r="X17" s="144" t="str">
        <x:v>128 Gen4 lanes / 32 x4 controllers in 1P; 2P provides 192 external lanes total. RAM ceiling below PCIe ceiling; reserve board/NIC lanes.</x:v>
      </x:c>
      <x:c r="Y17" s="144" t="str">
        <x:v>https://d1o0i0v5q5lp8h.cloudfront.net/ampere/live/assets/documents/Altra_Max_Rev_A1_DS_v1.05_20220728.pdf</x:v>
      </x:c>
    </x:row>
    <x:row r="19">
      <x:c r="S19" s="161" t="str">
        <x:v>NVMe / RAID0 calculation basis</x:v>
      </x:c>
    </x:row>
    <x:row r="20" ht="30" customHeight="1">
      <x:c r="S20" s="164" t="str">
        <x:v>Scope: one CPU / single-socket lane budget at the generation in column I. All listed high-speed lanes assigned to NVMe; no GPU/NIC reservation. CPU limits are conditional, not a purchasable board configuration.</x:v>
      </x:c>
      <x:c r="T20" s="164"/>
      <x:c r="U20" s="164"/>
      <x:c r="V20" s="164"/>
      <x:c r="W20" s="164"/>
      <x:c r="X20" s="164"/>
      <x:c r="Y20" s="164"/>
    </x:row>
    <x:row r="21" ht="30" customHeight="1">
      <x:c r="S21" s="164" t="str">
        <x:v>x4 SSD count = floor(lanes / 4), assuming independent full-width links or non-oversubscribed switch fan-out. More drives behind a switch do not raise upstream bandwidth. No specific SSD model is assumed.</x:v>
      </x:c>
      <x:c r="T21" s="164"/>
      <x:c r="U21" s="164"/>
      <x:c r="V21" s="164"/>
      <x:c r="W21" s="164"/>
      <x:c r="X21" s="164"/>
      <x:c r="Y21" s="164"/>
    </x:row>
    <x:row r="22" ht="30" customHeight="1">
      <x:c r="S22" s="164" t="str">
        <x:v>Per-lane rates: Gen3/4/5 = 8/16/32 GT/s × 128/130 ÷ 8. Gen6 = 64 Gb/s ÷ 8 × 236/256 TLP-byte fraction. Decimal GB/s, one direction; additional packet/NVMe overhead is excluded.</x:v>
      </x:c>
      <x:c r="T22" s="164"/>
      <x:c r="U22" s="164"/>
      <x:c r="V22" s="164"/>
      <x:c r="W22" s="164"/>
      <x:c r="X22" s="164"/>
      <x:c r="Y22" s="164"/>
    </x:row>
    <x:row r="23" ht="30" customHeight="1">
      <x:c r="S23" s="164" t="str">
        <x:v>For host-memory transfers: RAID0 PCIe ceiling = x4 drive count × 4 × per-lane rate. PCIe/RAM ceiling = MIN(PCIe ceiling, peak memory bandwidth in H). Both are theoretical upper bounds; actual read/write speeds depend on SSDs, memory traffic, NUMA, software and cooling. Peer-to-peer DMA excluded.</x:v>
      </x:c>
      <x:c r="T23" s="164"/>
      <x:c r="U23" s="164"/>
      <x:c r="V23" s="164"/>
      <x:c r="W23" s="164"/>
      <x:c r="X23" s="164"/>
      <x:c r="Y23" s="164"/>
    </x:row>
    <x:row r="24" ht="30" customHeight="1">
      <x:c r="S24" s="164" t="str">
        <x:v>Software RAID0 (for example Linux md) can stripe visible NVMe block devices. Hardware/firmware RAID and boot support vary. RAID0 has no redundancy; a drive failure can lose the array.</x:v>
      </x:c>
      <x:c r="T24" s="164"/>
      <x:c r="U24" s="164"/>
      <x:c r="V24" s="164"/>
      <x:c r="W24" s="164"/>
      <x:c r="X24" s="164"/>
      <x:c r="Y24" s="164"/>
    </x:row>
    <x:row r="25" ht="30" customHeight="1">
      <x:c r="S25" s="164" t="str">
        <x:v>Method sources: https://www.intel.com/content/www/us/en/gaming/resources/what-is-pcie-4-and-why-does-it-matter.html ; https://cdrdv2-public.intel.com/332995/332995-skl-io-platform-datasheet-vol1_rev004.pdf</x:v>
      </x:c>
      <x:c r="T25" s="164"/>
      <x:c r="U25" s="164"/>
      <x:c r="V25" s="164"/>
      <x:c r="W25" s="164"/>
      <x:c r="X25" s="164"/>
      <x:c r="Y25" s="164"/>
    </x:row>
    <x:row r="26" ht="30" customHeight="1">
      <x:c r="S26" s="164" t="str">
        <x:v>Gen6 FLIT source: https://pcisig.com/blog/evolution-pci-express-specification-its-sixth-generation-third-decade-and-still-going-strong?PageSpeed=noscript ; RAID: https://docs.kernel.org/admin-guide/md.html</x:v>
      </x:c>
      <x:c r="T26" s="164"/>
      <x:c r="U26" s="164"/>
      <x:c r="V26" s="164"/>
      <x:c r="W26" s="164"/>
      <x:c r="X26" s="164"/>
      <x:c r="Y26" s="164"/>
    </x:row>
  </x:sheetData>
  <x:mergeCells>
    <x:mergeCell ref="S20:Y20"/>
    <x:mergeCell ref="S21:Y21"/>
    <x:mergeCell ref="S22:Y22"/>
    <x:mergeCell ref="S23:Y23"/>
    <x:mergeCell ref="S24:Y24"/>
    <x:mergeCell ref="S25:Y25"/>
    <x:mergeCell ref="S26:Y26"/>
  </x:mergeCells>
  <x:pageMargins left="0.7" right="0.7" top="0.75" bottom="0.75" header="0.3" footer="0.3"/>
  <x:tableParts count="1">
    <x:tablePart xmlns:r="http://schemas.openxmlformats.org/officeDocument/2006/relationships" r:id="R6b31cb24f7084660"/>
  </x:tableParts>
</x:worksheet>
</file>

<file path=xl/worksheets/sheet3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16" hidden="0" customWidth="1"/>
    <x:col min="4" max="4" width="17" hidden="0" customWidth="1"/>
    <x:col min="5" max="5" width="9.670000076293945" hidden="0" customWidth="1"/>
    <x:col min="6" max="6" width="9.779999732971191" hidden="0" customWidth="1"/>
    <x:col min="7" max="7" width="16.670000076293945" hidden="0" customWidth="1"/>
    <x:col min="8" max="8" width="10.329999923706055" hidden="0" customWidth="1"/>
    <x:col min="9" max="9" width="8" hidden="0" customWidth="1"/>
    <x:col min="10" max="10" width="14.220000267028809" hidden="0" customWidth="1"/>
    <x:col min="11" max="11" width="16.329999923706055" hidden="0" customWidth="1"/>
    <x:col min="12" max="12" width="6.21999979019165" hidden="0" customWidth="1"/>
    <x:col min="13" max="13" width="8.670000076293945" hidden="0" customWidth="1"/>
    <x:col min="14" max="14" width="25" hidden="0" customWidth="1"/>
    <x:col min="15" max="15" width="22" hidden="0" customWidth="1"/>
    <x:col min="16" max="16" width="7.559999942779541" hidden="0" customWidth="1"/>
    <x:col min="17" max="17" width="11.4399995803833" hidden="0" customWidth="1"/>
    <x:col min="18" max="18" width="17.110000610351562" hidden="0" customWidth="1"/>
    <x:col min="19" max="19" width="42" hidden="0" customWidth="1"/>
    <x:col min="20" max="20" width="54" hidden="0" customWidth="1"/>
  </x:cols>
  <x:sheetData>
    <x:row r="2">
      <x:c r="A2" s="1" t="str">
        <x:v>GPU database</x:v>
      </x:c>
    </x:row>
    <x:row r="3" ht="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18" customHeight="1">
      <x:c r="A4" s="24" t="str">
        <x:v>One-TiB figures count devices only. They exclude hosts, bridges, cooling, power delivery and networking.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</x:row>
    <x:row r="6" ht="32" hidden="0" customHeight="1">
      <x:c r="A6" s="16" t="str">
        <x:v>Vendor</x:v>
      </x:c>
      <x:c r="B6" s="17" t="str">
        <x:v>Model</x:v>
      </x:c>
      <x:c r="C6" s="17" t="str">
        <x:v>Architecture</x:v>
      </x:c>
      <x:c r="D6" s="17" t="str">
        <x:v>Form factor</x:v>
      </x:c>
      <x:c r="E6" s="17" t="str">
        <x:v>Memory type</x:v>
      </x:c>
      <x:c r="F6" s="17" t="str">
        <x:v>Memory (GB)</x:v>
      </x:c>
      <x:c r="G6" s="17" t="str">
        <x:v>Peak bandwidth (GB/s)</x:v>
      </x:c>
      <x:c r="H6" s="17" t="str">
        <x:v>Host interface</x:v>
      </x:c>
      <x:c r="I6" s="17" t="str">
        <x:v>Host lanes</x:v>
      </x:c>
      <x:c r="J6" s="17" t="str">
        <x:v>Peer interconnect</x:v>
      </x:c>
      <x:c r="K6" s="17" t="str">
        <x:v>Peer bandwidth (GB/s)</x:v>
      </x:c>
      <x:c r="L6" s="17" t="str">
        <x:v>TDP (W)</x:v>
      </x:c>
      <x:c r="M6" s="17" t="str">
        <x:v>Price (USD)</x:v>
      </x:c>
      <x:c r="N6" s="17" t="str">
        <x:v>Price basis</x:v>
      </x:c>
      <x:c r="O6" s="17" t="str">
        <x:v>Availability</x:v>
      </x:c>
      <x:c r="P6" s="17" t="str">
        <x:v>Price date</x:v>
      </x:c>
      <x:c r="Q6" s="17" t="str">
        <x:v>Nodes for 1 TiB</x:v>
      </x:c>
      <x:c r="R6" s="17" t="str">
        <x:v>1 TiB device cost (USD)</x:v>
      </x:c>
      <x:c r="S6" s="17" t="str">
        <x:v>Source</x:v>
      </x:c>
      <x:c r="T6" s="18" t="str">
        <x:v>Notes</x:v>
      </x:c>
    </x:row>
    <x:row r="7" ht="15" hidden="0" customHeight="1">
      <x:c r="A7" s="22" t="str">
        <x:v>NVIDIA</x:v>
      </x:c>
      <x:c r="B7" s="22" t="str">
        <x:v>Tesla M40 24GB</x:v>
      </x:c>
      <x:c r="C7" s="22" t="str">
        <x:v>Maxwell</x:v>
      </x:c>
      <x:c r="D7" s="22" t="str">
        <x:v>PCIe passive</x:v>
      </x:c>
      <x:c r="E7" s="22" t="str">
        <x:v>GDDR5</x:v>
      </x:c>
      <x:c r="F7" s="31" t="n">
        <x:v>24</x:v>
      </x:c>
      <x:c r="G7" s="28" t="n">
        <x:v>288</x:v>
      </x:c>
      <x:c r="H7" s="22" t="str">
        <x:v>PCIe 3.0</x:v>
      </x:c>
      <x:c r="I7" s="31" t="n">
        <x:v>16</x:v>
      </x:c>
      <x:c r="J7" s="22" t="str">
        <x:v>None</x:v>
      </x:c>
      <x:c r="K7" s="28"/>
      <x:c r="L7" s="31" t="n">
        <x:v>250</x:v>
      </x:c>
      <x:c r="M7" s="25" t="n">
        <x:v>200</x:v>
      </x:c>
      <x:c r="N7" s="22" t="str">
        <x:v>Recent used sold listing</x:v>
      </x:c>
      <x:c r="O7" s="22" t="str">
        <x:v>Common used</x:v>
      </x:c>
      <x:c r="P7" s="34" t="d">
        <x:v>2026-10-18T00:00:00.000Z</x:v>
      </x:c>
      <x:c r="Q7" s="31" t="n">
        <x:f>IF(OR(F7="",F7=0),"",ROUNDUP(1024/F7,0))</x:f>
        <x:v>43</x:v>
      </x:c>
      <x:c r="R7" s="25" t="n">
        <x:f>IF(OR(M7="",M7=0,Q7=""),"",M7*Q7)</x:f>
        <x:v>8600</x:v>
      </x:c>
      <x:c r="S7" s="37" t="str">
        <x:v>https://www.ebay.com/itm/267719805673</x:v>
      </x:c>
      <x:c r="T7" s="22" t="str">
        <x:v>Needs forced airflow and an EPS-style power cable. Weak low-precision support by modern standards.</x:v>
      </x:c>
    </x:row>
    <x:row r="8" ht="15" hidden="0" customHeight="1">
      <x:c r="A8" s="21" t="str">
        <x:v>NVIDIA</x:v>
      </x:c>
      <x:c r="B8" s="21" t="str">
        <x:v>Tesla P40 24GB</x:v>
      </x:c>
      <x:c r="C8" s="21" t="str">
        <x:v>Pascal</x:v>
      </x:c>
      <x:c r="D8" s="21" t="str">
        <x:v>PCIe passive</x:v>
      </x:c>
      <x:c r="E8" s="21" t="str">
        <x:v>GDDR5</x:v>
      </x:c>
      <x:c r="F8" s="32" t="n">
        <x:v>24</x:v>
      </x:c>
      <x:c r="G8" s="29" t="n">
        <x:v>347</x:v>
      </x:c>
      <x:c r="H8" s="21" t="str">
        <x:v>PCIe 3.0</x:v>
      </x:c>
      <x:c r="I8" s="32" t="n">
        <x:v>16</x:v>
      </x:c>
      <x:c r="J8" s="21" t="str">
        <x:v>None</x:v>
      </x:c>
      <x:c r="K8" s="29"/>
      <x:c r="L8" s="32" t="n">
        <x:v>250</x:v>
      </x:c>
      <x:c r="M8" s="26" t="n">
        <x:v>280</x:v>
      </x:c>
      <x:c r="N8" s="21" t="str">
        <x:v>Recent used sold listing</x:v>
      </x:c>
      <x:c r="O8" s="21" t="str">
        <x:v>Common used</x:v>
      </x:c>
      <x:c r="P8" s="35" t="d">
        <x:v>2026-10-18T00:00:00.000Z</x:v>
      </x:c>
      <x:c r="Q8" s="31" t="n">
        <x:f>IF(OR(F8="",F8=0),"",ROUNDUP(1024/F8,0))</x:f>
        <x:v>43</x:v>
      </x:c>
      <x:c r="R8" s="25" t="n">
        <x:f>IF(OR(M8="",M8=0,Q8=""),"",M8*Q8)</x:f>
        <x:v>12040</x:v>
      </x:c>
      <x:c r="S8" s="38" t="str">
        <x:v>https://www.ebay.com/itm/227443217541</x:v>
      </x:c>
      <x:c r="T8" s="21" t="str">
        <x:v>Useful capacity per dollar, but tensor-core acceleration is absent.</x:v>
      </x:c>
    </x:row>
    <x:row r="9" ht="15" hidden="0" customHeight="1">
      <x:c r="A9" s="23" t="str">
        <x:v>NVIDIA</x:v>
      </x:c>
      <x:c r="B9" s="23" t="str">
        <x:v>Tesla P100 PCIe 16GB</x:v>
      </x:c>
      <x:c r="C9" s="23" t="str">
        <x:v>Pascal</x:v>
      </x:c>
      <x:c r="D9" s="23" t="str">
        <x:v>PCIe passive</x:v>
      </x:c>
      <x:c r="E9" s="23" t="str">
        <x:v>HBM2</x:v>
      </x:c>
      <x:c r="F9" s="33" t="n">
        <x:v>16</x:v>
      </x:c>
      <x:c r="G9" s="30" t="n">
        <x:v>732</x:v>
      </x:c>
      <x:c r="H9" s="23" t="str">
        <x:v>PCIe 3.0</x:v>
      </x:c>
      <x:c r="I9" s="33" t="n">
        <x:v>16</x:v>
      </x:c>
      <x:c r="J9" s="23" t="str">
        <x:v>None on PCIe model</x:v>
      </x:c>
      <x:c r="K9" s="30"/>
      <x:c r="L9" s="33" t="n">
        <x:v>250</x:v>
      </x:c>
      <x:c r="M9" s="27" t="n">
        <x:v>250</x:v>
      </x:c>
      <x:c r="N9" s="23" t="str">
        <x:v>Typical used estimate</x:v>
      </x:c>
      <x:c r="O9" s="23" t="str">
        <x:v>Used</x:v>
      </x:c>
      <x:c r="P9" s="36" t="d">
        <x:v>2026-10-18T00:00:00.000Z</x:v>
      </x:c>
      <x:c r="Q9" s="31" t="n">
        <x:f>IF(OR(F9="",F9=0),"",ROUNDUP(1024/F9,0))</x:f>
        <x:v>64</x:v>
      </x:c>
      <x:c r="R9" s="25" t="n">
        <x:f>IF(OR(M9="",M9=0,Q9=""),"",M9*Q9)</x:f>
        <x:v>16000</x:v>
      </x:c>
      <x:c r="S9" s="39" t="str">
        <x:v>https://images.nvidia.com/content/pdf/tesla/whitepaper/pascal-architecture-whitepaper.pdf</x:v>
      </x:c>
      <x:c r="T9" s="23" t="str">
        <x:v>High bandwidth but only 16 GB per card.</x:v>
      </x:c>
    </x:row>
    <x:row r="10" ht="15" hidden="0" customHeight="1">
      <x:c r="A10" s="21" t="str">
        <x:v>NVIDIA</x:v>
      </x:c>
      <x:c r="B10" s="21" t="str">
        <x:v>Tesla V100 SXM2 32GB</x:v>
      </x:c>
      <x:c r="C10" s="21" t="str">
        <x:v>Volta</x:v>
      </x:c>
      <x:c r="D10" s="21" t="str">
        <x:v>SXM2 module</x:v>
      </x:c>
      <x:c r="E10" s="21" t="str">
        <x:v>HBM2</x:v>
      </x:c>
      <x:c r="F10" s="32" t="n">
        <x:v>32</x:v>
      </x:c>
      <x:c r="G10" s="29" t="n">
        <x:v>900</x:v>
      </x:c>
      <x:c r="H10" s="21" t="str">
        <x:v>SXM2 carrier</x:v>
      </x:c>
      <x:c r="I10" s="32"/>
      <x:c r="J10" s="21" t="str">
        <x:v>NVLink 2</x:v>
      </x:c>
      <x:c r="K10" s="29" t="n">
        <x:v>300</x:v>
      </x:c>
      <x:c r="L10" s="32" t="n">
        <x:v>300</x:v>
      </x:c>
      <x:c r="M10" s="26" t="n">
        <x:v>629</x:v>
      </x:c>
      <x:c r="N10" s="21" t="str">
        <x:v>Current used asking price</x:v>
      </x:c>
      <x:c r="O10" s="21" t="str">
        <x:v>Used; carrier required</x:v>
      </x:c>
      <x:c r="P10" s="35" t="d">
        <x:v>2026-10-18T00:00:00.000Z</x:v>
      </x:c>
      <x:c r="Q10" s="31" t="n">
        <x:f>IF(OR(F10="",F10=0),"",ROUNDUP(1024/F10,0))</x:f>
        <x:v>32</x:v>
      </x:c>
      <x:c r="R10" s="25" t="n">
        <x:f>IF(OR(M10="",M10=0,Q10=""),"",M10*Q10)</x:f>
        <x:v>20128</x:v>
      </x:c>
      <x:c r="S10" s="38" t="str">
        <x:v>https://www.ebay.com/sch/i.html?_nkw=tesla+v100+32gb+sxm2&amp;_sop=12</x:v>
      </x:c>
      <x:c r="T10" s="21" t="str">
        <x:v>Low module price hides the cost and complexity of an SXM2 carrier, cooling and power.</x:v>
      </x:c>
    </x:row>
    <x:row r="11" ht="15" hidden="0" customHeight="1">
      <x:c r="A11" s="23" t="str">
        <x:v>AMD</x:v>
      </x:c>
      <x:c r="B11" s="23" t="str">
        <x:v>Instinct MI50 32GB</x:v>
      </x:c>
      <x:c r="C11" s="23" t="str">
        <x:v>Vega 20</x:v>
      </x:c>
      <x:c r="D11" s="23" t="str">
        <x:v>PCIe passive</x:v>
      </x:c>
      <x:c r="E11" s="23" t="str">
        <x:v>HBM2</x:v>
      </x:c>
      <x:c r="F11" s="33" t="n">
        <x:v>32</x:v>
      </x:c>
      <x:c r="G11" s="30" t="n">
        <x:v>1000</x:v>
      </x:c>
      <x:c r="H11" s="23" t="str">
        <x:v>PCIe 4.0</x:v>
      </x:c>
      <x:c r="I11" s="33" t="n">
        <x:v>16</x:v>
      </x:c>
      <x:c r="J11" s="23" t="str">
        <x:v>Infinity Fabric links</x:v>
      </x:c>
      <x:c r="K11" s="30" t="n">
        <x:v>92</x:v>
      </x:c>
      <x:c r="L11" s="33" t="n">
        <x:v>300</x:v>
      </x:c>
      <x:c r="M11" s="27" t="n">
        <x:v>659</x:v>
      </x:c>
      <x:c r="N11" s="23" t="str">
        <x:v>Current used asking price</x:v>
      </x:c>
      <x:c r="O11" s="23" t="str">
        <x:v>Used; moderate supply</x:v>
      </x:c>
      <x:c r="P11" s="36" t="d">
        <x:v>2026-10-18T00:00:00.000Z</x:v>
      </x:c>
      <x:c r="Q11" s="31" t="n">
        <x:f>IF(OR(F11="",F11=0),"",ROUNDUP(1024/F11,0))</x:f>
        <x:v>32</x:v>
      </x:c>
      <x:c r="R11" s="25" t="n">
        <x:f>IF(OR(M11="",M11=0,Q11=""),"",M11*Q11)</x:f>
        <x:v>21088</x:v>
      </x:c>
      <x:c r="S11" s="39" t="str">
        <x:v>https://www.ebay.com/sch/i.html?_nkw=amd+instinct+mi50+32gb&amp;_sop=12</x:v>
      </x:c>
      <x:c r="T11" s="23" t="str">
        <x:v>ROCm support and firmware compatibility should be checked for the exact board revision.</x:v>
      </x:c>
    </x:row>
    <x:row r="12" ht="15" hidden="0" customHeight="1">
      <x:c r="A12" s="21" t="str">
        <x:v>AMD</x:v>
      </x:c>
      <x:c r="B12" s="21" t="str">
        <x:v>Instinct MI210 64GB</x:v>
      </x:c>
      <x:c r="C12" s="21" t="str">
        <x:v>CDNA 2</x:v>
      </x:c>
      <x:c r="D12" s="21" t="str">
        <x:v>PCIe passive</x:v>
      </x:c>
      <x:c r="E12" s="21" t="str">
        <x:v>HBM2e</x:v>
      </x:c>
      <x:c r="F12" s="32" t="n">
        <x:v>64</x:v>
      </x:c>
      <x:c r="G12" s="29" t="n">
        <x:v>1638</x:v>
      </x:c>
      <x:c r="H12" s="21" t="str">
        <x:v>PCIe 4.0</x:v>
      </x:c>
      <x:c r="I12" s="32" t="n">
        <x:v>16</x:v>
      </x:c>
      <x:c r="J12" s="21" t="str">
        <x:v>Infinity Fabric links</x:v>
      </x:c>
      <x:c r="K12" s="29"/>
      <x:c r="L12" s="32" t="n">
        <x:v>300</x:v>
      </x:c>
      <x:c r="M12" s="26" t="n">
        <x:v>3900</x:v>
      </x:c>
      <x:c r="N12" s="21" t="str">
        <x:v>Recent used asking price</x:v>
      </x:c>
      <x:c r="O12" s="21" t="str">
        <x:v>Used; limited supply</x:v>
      </x:c>
      <x:c r="P12" s="35" t="d">
        <x:v>2026-10-18T00:00:00.000Z</x:v>
      </x:c>
      <x:c r="Q12" s="31" t="n">
        <x:f>IF(OR(F12="",F12=0),"",ROUNDUP(1024/F12,0))</x:f>
        <x:v>16</x:v>
      </x:c>
      <x:c r="R12" s="25" t="n">
        <x:f>IF(OR(M12="",M12=0,Q12=""),"",M12*Q12)</x:f>
        <x:v>62400</x:v>
      </x:c>
      <x:c r="S12" s="38" t="str">
        <x:v>https://www.reddit.com/r/hardwareswap/comments/1wqzdd4/usatx_h_amd_instinct_mi210_64gb_hbm2_w_paypal/</x:v>
      </x:c>
      <x:c r="T12" s="21" t="str">
        <x:v>Fast and large, but current used pricing is much higher than MI50 or V100.</x:v>
      </x:c>
    </x:row>
    <x:row r="13" ht="15" hidden="0" customHeight="1">
      <x:c r="A13" s="23" t="str">
        <x:v>NVIDIA</x:v>
      </x:c>
      <x:c r="B13" s="23" t="str">
        <x:v>GeForce RTX 3090</x:v>
      </x:c>
      <x:c r="C13" s="23" t="str">
        <x:v>Ampere</x:v>
      </x:c>
      <x:c r="D13" s="23" t="str">
        <x:v>PCIe active</x:v>
      </x:c>
      <x:c r="E13" s="23" t="str">
        <x:v>GDDR6X</x:v>
      </x:c>
      <x:c r="F13" s="33" t="n">
        <x:v>24</x:v>
      </x:c>
      <x:c r="G13" s="30" t="n">
        <x:v>936.2</x:v>
      </x:c>
      <x:c r="H13" s="23" t="str">
        <x:v>PCIe 4.0</x:v>
      </x:c>
      <x:c r="I13" s="33" t="n">
        <x:v>16</x:v>
      </x:c>
      <x:c r="J13" s="23" t="str">
        <x:v>NVLink 3</x:v>
      </x:c>
      <x:c r="K13" s="30"/>
      <x:c r="L13" s="33" t="n">
        <x:v>350</x:v>
      </x:c>
      <x:c r="M13" s="27" t="n">
        <x:v>1000</x:v>
      </x:c>
      <x:c r="N13" s="23" t="str">
        <x:v>Recent used asking price</x:v>
      </x:c>
      <x:c r="O13" s="23" t="str">
        <x:v>Common used</x:v>
      </x:c>
      <x:c r="P13" s="36" t="d">
        <x:v>2026-10-18T00:00:00.000Z</x:v>
      </x:c>
      <x:c r="Q13" s="31" t="n">
        <x:f>IF(OR(F13="",F13=0),"",ROUNDUP(1024/F13,0))</x:f>
        <x:v>43</x:v>
      </x:c>
      <x:c r="R13" s="25" t="n">
        <x:f>IF(OR(M13="",M13=0,Q13=""),"",M13*Q13)</x:f>
        <x:v>43000</x:v>
      </x:c>
      <x:c r="S13" s="39" t="str">
        <x:v>https://www.nvidia.com/en-eu/geforce/graphics-cards/30-series/rtx-3090/</x:v>
      </x:c>
      <x:c r="T13" s="23" t="str">
        <x:v>Consumer cooling and display outputs make integration easier than passive data-center cards.</x:v>
      </x:c>
    </x:row>
    <x:row r="14" ht="15" hidden="0" customHeight="1">
      <x:c r="A14" s="21" t="str">
        <x:v>Intel</x:v>
      </x:c>
      <x:c r="B14" s="21" t="str">
        <x:v>Arc A770 16GB</x:v>
      </x:c>
      <x:c r="C14" s="21" t="str">
        <x:v>Xe HPG</x:v>
      </x:c>
      <x:c r="D14" s="21" t="str">
        <x:v>PCIe active</x:v>
      </x:c>
      <x:c r="E14" s="21" t="str">
        <x:v>GDDR6</x:v>
      </x:c>
      <x:c r="F14" s="32" t="n">
        <x:v>16</x:v>
      </x:c>
      <x:c r="G14" s="29" t="n">
        <x:v>560</x:v>
      </x:c>
      <x:c r="H14" s="21" t="str">
        <x:v>PCIe 4.0</x:v>
      </x:c>
      <x:c r="I14" s="32" t="n">
        <x:v>16</x:v>
      </x:c>
      <x:c r="J14" s="21" t="str">
        <x:v>None</x:v>
      </x:c>
      <x:c r="K14" s="29"/>
      <x:c r="L14" s="32" t="n">
        <x:v>225</x:v>
      </x:c>
      <x:c r="M14" s="26" t="n">
        <x:v>349</x:v>
      </x:c>
      <x:c r="N14" s="21" t="str">
        <x:v>Launch MSRP</x:v>
      </x:c>
      <x:c r="O14" s="21" t="str">
        <x:v>Retail and used</x:v>
      </x:c>
      <x:c r="P14" s="35" t="d">
        <x:v>2026-10-18T00:00:00.000Z</x:v>
      </x:c>
      <x:c r="Q14" s="31" t="n">
        <x:f>IF(OR(F14="",F14=0),"",ROUNDUP(1024/F14,0))</x:f>
        <x:v>64</x:v>
      </x:c>
      <x:c r="R14" s="25" t="n">
        <x:f>IF(OR(M14="",M14=0,Q14=""),"",M14*Q14)</x:f>
        <x:v>22336</x:v>
      </x:c>
      <x:c r="S14" s="38" t="str">
        <x:v>https://www.intel.com/content/www/us/en/products/sku/229151/intel-arc-a770-graphics-16gb/specifications.html</x:v>
      </x:c>
      <x:c r="T14" s="21" t="str">
        <x:v>Strong bandwidth for the price. Software support is workload-dependent.</x:v>
      </x:c>
    </x:row>
    <x:row r="15" ht="15" hidden="0" customHeight="1">
      <x:c r="A15" s="23" t="str">
        <x:v>AMD</x:v>
      </x:c>
      <x:c r="B15" s="23" t="str">
        <x:v>Radeon RX 6800</x:v>
      </x:c>
      <x:c r="C15" s="23" t="str">
        <x:v>RDNA 2</x:v>
      </x:c>
      <x:c r="D15" s="23" t="str">
        <x:v>PCIe active</x:v>
      </x:c>
      <x:c r="E15" s="23" t="str">
        <x:v>GDDR6</x:v>
      </x:c>
      <x:c r="F15" s="33" t="n">
        <x:v>16</x:v>
      </x:c>
      <x:c r="G15" s="30" t="n">
        <x:v>512</x:v>
      </x:c>
      <x:c r="H15" s="23" t="str">
        <x:v>PCIe 4.0</x:v>
      </x:c>
      <x:c r="I15" s="33" t="n">
        <x:v>16</x:v>
      </x:c>
      <x:c r="J15" s="23" t="str">
        <x:v>None</x:v>
      </x:c>
      <x:c r="K15" s="30"/>
      <x:c r="L15" s="33" t="n">
        <x:v>250</x:v>
      </x:c>
      <x:c r="M15" s="27" t="n">
        <x:v>579</x:v>
      </x:c>
      <x:c r="N15" s="23" t="str">
        <x:v>Launch MSRP</x:v>
      </x:c>
      <x:c r="O15" s="23" t="str">
        <x:v>Used; some retail stock</x:v>
      </x:c>
      <x:c r="P15" s="36" t="d">
        <x:v>2026-10-18T00:00:00.000Z</x:v>
      </x:c>
      <x:c r="Q15" s="31" t="n">
        <x:f>IF(OR(F15="",F15=0),"",ROUNDUP(1024/F15,0))</x:f>
        <x:v>64</x:v>
      </x:c>
      <x:c r="R15" s="25" t="n">
        <x:f>IF(OR(M15="",M15=0,Q15=""),"",M15*Q15)</x:f>
        <x:v>37056</x:v>
      </x:c>
      <x:c r="S15" s="39" t="str">
        <x:v>https://www.amd.com/en/products/graphics/desktops/radeon/6000-series/amd-radeon-rx-6800.html</x:v>
      </x:c>
      <x:c r="T15" s="23" t="str">
        <x:v>Infinity Cache does not increase raw external-memory bandwidth.</x:v>
      </x:c>
    </x:row>
    <x:row r="16" ht="15" hidden="0" customHeight="1">
      <x:c r="A16" s="21" t="str">
        <x:v>NVIDIA</x:v>
      </x:c>
      <x:c r="B16" s="21" t="str">
        <x:v>RTX PRO 6000 Blackwell</x:v>
      </x:c>
      <x:c r="C16" s="21" t="str">
        <x:v>Blackwell</x:v>
      </x:c>
      <x:c r="D16" s="21" t="str">
        <x:v>PCIe active</x:v>
      </x:c>
      <x:c r="E16" s="21" t="str">
        <x:v>GDDR7 ECC</x:v>
      </x:c>
      <x:c r="F16" s="32" t="n">
        <x:v>96</x:v>
      </x:c>
      <x:c r="G16" s="29" t="n">
        <x:v>1792</x:v>
      </x:c>
      <x:c r="H16" s="21" t="str">
        <x:v>PCIe 5.0</x:v>
      </x:c>
      <x:c r="I16" s="32" t="n">
        <x:v>16</x:v>
      </x:c>
      <x:c r="J16" s="21" t="str">
        <x:v>None</x:v>
      </x:c>
      <x:c r="K16" s="29"/>
      <x:c r="L16" s="32" t="n">
        <x:v>600</x:v>
      </x:c>
      <x:c r="M16" s="26" t="n">
        <x:v>13250</x:v>
      </x:c>
      <x:c r="N16" s="21" t="str">
        <x:v>Current official marketplace price</x:v>
      </x:c>
      <x:c r="O16" s="21" t="str">
        <x:v>Retail, expensive</x:v>
      </x:c>
      <x:c r="P16" s="35" t="d">
        <x:v>2026-10-18T00:00:00.000Z</x:v>
      </x:c>
      <x:c r="Q16" s="31" t="n">
        <x:f>IF(OR(F16="",F16=0),"",ROUNDUP(1024/F16,0))</x:f>
        <x:v>11</x:v>
      </x:c>
      <x:c r="R16" s="25" t="n">
        <x:f>IF(OR(M16="",M16=0,Q16=""),"",M16*Q16)</x:f>
        <x:v>145750</x:v>
      </x:c>
      <x:c r="S16" s="38" t="str">
        <x:v>https://marketplace.nvidia.com/en-us/enterprise/laptops-workstations/nvidia-rtx-pro-6000-blackwell-workstation-edition/</x:v>
      </x:c>
      <x:c r="T16" s="21" t="str">
        <x:v>High capacity in one conventional PCIe card. Current price reflects 2026 memory shortages.</x:v>
      </x:c>
    </x:row>
  </x:sheetData>
  <x:pageMargins left="0.7" right="0.7" top="0.75" bottom="0.75" header="0.3" footer="0.3"/>
  <x:tableParts count="1">
    <x:tablePart xmlns:r="http://schemas.openxmlformats.org/officeDocument/2006/relationships" r:id="R25b605d9950b4b46"/>
  </x:tableParts>
</x:worksheet>
</file>

<file path=xl/worksheets/sheet4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31" hidden="0" customWidth="1"/>
    <x:col min="3" max="3" width="25" hidden="0" customWidth="1"/>
    <x:col min="4" max="4" width="12.329999923706055" hidden="0" customWidth="1"/>
    <x:col min="5" max="5" width="11.5600004196167" hidden="0" customWidth="1"/>
    <x:col min="6" max="6" width="14.779999732971191" hidden="0" customWidth="1"/>
    <x:col min="7" max="7" width="13.220000267028809" hidden="0" customWidth="1"/>
    <x:col min="8" max="8" width="16.670000076293945" hidden="0" customWidth="1"/>
    <x:col min="9" max="9" width="28" hidden="0" customWidth="1"/>
    <x:col min="10" max="10" width="32" hidden="0" customWidth="1"/>
    <x:col min="11" max="11" width="12.220000267028809" hidden="0" customWidth="1"/>
    <x:col min="12" max="12" width="22" hidden="0" customWidth="1"/>
    <x:col min="13" max="13" width="24" hidden="0" customWidth="1"/>
    <x:col min="14" max="14" width="34" hidden="0" customWidth="1"/>
    <x:col min="15" max="15" width="7.559999942779541" hidden="0" customWidth="1"/>
    <x:col min="16" max="16" width="42" hidden="0" customWidth="1"/>
    <x:col min="17" max="17" width="54" hidden="0" customWidth="1"/>
  </x:cols>
  <x:sheetData>
    <x:row r="2">
      <x:c r="A2" s="1" t="str">
        <x:v>Mobile SoC database</x:v>
      </x:c>
    </x:row>
    <x:row r="3" ht="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18" customHeight="1">
      <x:c r="A4" s="24" t="str">
        <x:v>Chip prices are often unavailable because these parts are sold only to device manufacturers. Estimates are labeled.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</x:row>
    <x:row r="6" ht="32" hidden="0" customHeight="1">
      <x:c r="A6" s="16" t="str">
        <x:v>Vendor</x:v>
      </x:c>
      <x:c r="B6" s="17" t="str">
        <x:v>SoC</x:v>
      </x:c>
      <x:c r="C6" s="17" t="str">
        <x:v>CPU ISA / cores</x:v>
      </x:c>
      <x:c r="D6" s="17" t="str">
        <x:v>Memory type</x:v>
      </x:c>
      <x:c r="E6" s="17" t="str">
        <x:v>Bus width (bits)</x:v>
      </x:c>
      <x:c r="F6" s="17" t="str">
        <x:v>Max data rate (MT/s)</x:v>
      </x:c>
      <x:c r="G6" s="17" t="str">
        <x:v>Max memory (GB)</x:v>
      </x:c>
      <x:c r="H6" s="17" t="str">
        <x:v>Peak bandwidth (GB/s)</x:v>
      </x:c>
      <x:c r="I6" s="17" t="str">
        <x:v>PCIe / high-speed I/O</x:v>
      </x:c>
      <x:c r="J6" s="17" t="str">
        <x:v>Integrated compute</x:v>
      </x:c>
      <x:c r="K6" s="17" t="str">
        <x:v>Chip price (USD)</x:v>
      </x:c>
      <x:c r="L6" s="17" t="str">
        <x:v>Price basis</x:v>
      </x:c>
      <x:c r="M6" s="17" t="str">
        <x:v>Availability</x:v>
      </x:c>
      <x:c r="N6" s="17" t="str">
        <x:v>SoM / board options</x:v>
      </x:c>
      <x:c r="O6" s="17" t="str">
        <x:v>Price date</x:v>
      </x:c>
      <x:c r="P6" s="17" t="str">
        <x:v>Source</x:v>
      </x:c>
      <x:c r="Q6" s="18" t="str">
        <x:v>Notes</x:v>
      </x:c>
    </x:row>
    <x:row r="7" ht="15" hidden="0" customHeight="1">
      <x:c r="A7" s="22" t="str">
        <x:v>Apple</x:v>
      </x:c>
      <x:c r="B7" s="22" t="str">
        <x:v>M3 Ultra</x:v>
      </x:c>
      <x:c r="C7" s="22" t="str">
        <x:v>Arm64; 28 or 32 CPU cores</x:v>
      </x:c>
      <x:c r="D7" s="22" t="str">
        <x:v>Unified LPDDR5</x:v>
      </x:c>
      <x:c r="E7" s="31" t="n">
        <x:v>1024</x:v>
      </x:c>
      <x:c r="F7" s="31" t="n">
        <x:v>6400</x:v>
      </x:c>
      <x:c r="G7" s="31" t="n">
        <x:v>512</x:v>
      </x:c>
      <x:c r="H7" s="28" t="n">
        <x:v>819</x:v>
      </x:c>
      <x:c r="I7" s="22" t="str">
        <x:v>Thunderbolt 5 via system</x:v>
      </x:c>
      <x:c r="J7" s="22" t="str">
        <x:v>GPU up to 80 cores; 32-core Neural Engine</x:v>
      </x:c>
      <x:c r="K7" s="25"/>
      <x:c r="L7" s="22" t="str">
        <x:v>Not sold as a chip</x:v>
      </x:c>
      <x:c r="M7" s="22" t="str">
        <x:v>Mac Studio only; 512 GB config now scarce</x:v>
      </x:c>
      <x:c r="N7" s="22" t="str">
        <x:v>Mac Studio</x:v>
      </x:c>
      <x:c r="O7" s="34" t="d">
        <x:v>2026-10-18T00:00:00.000Z</x:v>
      </x:c>
      <x:c r="P7" s="37" t="str">
        <x:v>https://www.apple.com/newsroom/2025/03/apple-reveals-m3-ultra-taking-apple-silicon-to-a-new-extreme/</x:v>
      </x:c>
      <x:c r="Q7" s="22" t="str">
        <x:v>UltraFusion between two M3 Max dies is 2.5 TB/s and is separate from external memory bandwidth.</x:v>
      </x:c>
    </x:row>
    <x:row r="8" ht="15" hidden="0" customHeight="1">
      <x:c r="A8" s="21" t="str">
        <x:v>Apple</x:v>
      </x:c>
      <x:c r="B8" s="21" t="str">
        <x:v>M4 Max</x:v>
      </x:c>
      <x:c r="C8" s="21" t="str">
        <x:v>Arm64; up to 16 CPU cores</x:v>
      </x:c>
      <x:c r="D8" s="21" t="str">
        <x:v>Unified LPDDR5X</x:v>
      </x:c>
      <x:c r="E8" s="32"/>
      <x:c r="F8" s="32"/>
      <x:c r="G8" s="32" t="n">
        <x:v>128</x:v>
      </x:c>
      <x:c r="H8" s="29" t="n">
        <x:v>546</x:v>
      </x:c>
      <x:c r="I8" s="21" t="str">
        <x:v>Thunderbolt 5 via system</x:v>
      </x:c>
      <x:c r="J8" s="21" t="str">
        <x:v>GPU up to 40 cores; Neural Engine</x:v>
      </x:c>
      <x:c r="K8" s="26"/>
      <x:c r="L8" s="21" t="str">
        <x:v>Not sold as a chip</x:v>
      </x:c>
      <x:c r="M8" s="21" t="str">
        <x:v>Apple systems only</x:v>
      </x:c>
      <x:c r="N8" s="21" t="str">
        <x:v>MacBook Pro</x:v>
      </x:c>
      <x:c r="O8" s="35" t="d">
        <x:v>2026-10-18T00:00:00.000Z</x:v>
      </x:c>
      <x:c r="P8" s="38" t="str">
        <x:v>https://www.apple.com/newsroom/2024/10/apple-introduces-m4-pro-and-m4-max/</x:v>
      </x:c>
      <x:c r="Q8" s="21" t="str">
        <x:v>No standalone SoM or custom-board access.</x:v>
      </x:c>
    </x:row>
    <x:row r="9" ht="15" hidden="0" customHeight="1">
      <x:c r="A9" s="23" t="str">
        <x:v>Qualcomm</x:v>
      </x:c>
      <x:c r="B9" s="23" t="str">
        <x:v>Snapdragon X2 Elite Extreme X2E-96-100</x:v>
      </x:c>
      <x:c r="C9" s="23" t="str">
        <x:v>Arm64 Oryon; 18 cores</x:v>
      </x:c>
      <x:c r="D9" s="23" t="str">
        <x:v>LPDDR5X-9523</x:v>
      </x:c>
      <x:c r="E9" s="33" t="n">
        <x:v>192</x:v>
      </x:c>
      <x:c r="F9" s="33" t="n">
        <x:v>9523</x:v>
      </x:c>
      <x:c r="G9" s="33" t="n">
        <x:v>128</x:v>
      </x:c>
      <x:c r="H9" s="30" t="n">
        <x:v>228</x:v>
      </x:c>
      <x:c r="I9" s="23" t="str">
        <x:v>Platform-specific PCIe and USB4</x:v>
      </x:c>
      <x:c r="J9" s="23" t="str">
        <x:v>Adreno GPU; 80 TOPS NPU</x:v>
      </x:c>
      <x:c r="K9" s="27"/>
      <x:c r="L9" s="23" t="str">
        <x:v>OEM only</x:v>
      </x:c>
      <x:c r="M9" s="23" t="str">
        <x:v>Large OEMs</x:v>
      </x:c>
      <x:c r="N9" s="23" t="str">
        <x:v>Laptop motherboards</x:v>
      </x:c>
      <x:c r="O9" s="36" t="d">
        <x:v>2026-10-18T00:00:00.000Z</x:v>
      </x:c>
      <x:c r="P9" s="39" t="str">
        <x:v>https://www.qualcomm.com/content/dam/qcomm-martech/dm-assets/documents/Snapdragon-X2-Elite-Product-Brief.pdf</x:v>
      </x:c>
      <x:c r="Q9" s="23" t="str">
        <x:v>Qualcomm states 128+ GB for the Extreme variant. No chip-level retail channel.</x:v>
      </x:c>
    </x:row>
    <x:row r="10" ht="15" hidden="0" customHeight="1">
      <x:c r="A10" s="21" t="str">
        <x:v>Qualcomm</x:v>
      </x:c>
      <x:c r="B10" s="21" t="str">
        <x:v>Snapdragon X Elite X1E-84-100</x:v>
      </x:c>
      <x:c r="C10" s="21" t="str">
        <x:v>Arm64 Oryon; 12 cores</x:v>
      </x:c>
      <x:c r="D10" s="21" t="str">
        <x:v>LPDDR5X-8448</x:v>
      </x:c>
      <x:c r="E10" s="32" t="n">
        <x:v>128</x:v>
      </x:c>
      <x:c r="F10" s="32" t="n">
        <x:v>8448</x:v>
      </x:c>
      <x:c r="G10" s="32" t="n">
        <x:v>64</x:v>
      </x:c>
      <x:c r="H10" s="29" t="n">
        <x:v>135</x:v>
      </x:c>
      <x:c r="I10" s="21" t="str">
        <x:v>Platform-specific PCIe and USB4</x:v>
      </x:c>
      <x:c r="J10" s="21" t="str">
        <x:v>Adreno GPU; 45 TOPS NPU</x:v>
      </x:c>
      <x:c r="K10" s="26"/>
      <x:c r="L10" s="21" t="str">
        <x:v>OEM only</x:v>
      </x:c>
      <x:c r="M10" s="21" t="str">
        <x:v>Large OEMs</x:v>
      </x:c>
      <x:c r="N10" s="21" t="str">
        <x:v>Laptops; limited embedded modules</x:v>
      </x:c>
      <x:c r="O10" s="35" t="d">
        <x:v>2026-10-18T00:00:00.000Z</x:v>
      </x:c>
      <x:c r="P10" s="38" t="str">
        <x:v>https://www.qualcomm.com/content/dam/qcomm-martech/dm-assets/documents/Product-Brief-Snapdragon-X-Elite.pdf</x:v>
      </x:c>
      <x:c r="Q10" s="21" t="str">
        <x:v>Maximum installed capacity depends on the OEM design.</x:v>
      </x:c>
    </x:row>
    <x:row r="11" ht="15" hidden="0" customHeight="1">
      <x:c r="A11" s="23" t="str">
        <x:v>CIX</x:v>
      </x:c>
      <x:c r="B11" s="23" t="str">
        <x:v>P1 / CD8180</x:v>
      </x:c>
      <x:c r="C11" s="23" t="str">
        <x:v>Armv9.2; 12 cores</x:v>
      </x:c>
      <x:c r="D11" s="23" t="str">
        <x:v>LPDDR5-5500</x:v>
      </x:c>
      <x:c r="E11" s="33" t="n">
        <x:v>128</x:v>
      </x:c>
      <x:c r="F11" s="33" t="n">
        <x:v>5500</x:v>
      </x:c>
      <x:c r="G11" s="33" t="n">
        <x:v>64</x:v>
      </x:c>
      <x:c r="H11" s="30" t="n">
        <x:v>100</x:v>
      </x:c>
      <x:c r="I11" s="23" t="str">
        <x:v>PCIe 4.0; board-dependent</x:v>
      </x:c>
      <x:c r="J11" s="23" t="str">
        <x:v>Immortalis-G720 MC10; 30 TOPS NPU</x:v>
      </x:c>
      <x:c r="K11" s="27"/>
      <x:c r="L11" s="23" t="str">
        <x:v>OEM and board partners</x:v>
      </x:c>
      <x:c r="M11" s="23" t="str">
        <x:v>Boards available; chip quote</x:v>
      </x:c>
      <x:c r="N11" s="23" t="str">
        <x:v>Radxa Orion O6/O6N; Orange Pi 6 Plus</x:v>
      </x:c>
      <x:c r="O11" s="36" t="d">
        <x:v>2026-10-18T00:00:00.000Z</x:v>
      </x:c>
      <x:c r="P11" s="39" t="str">
        <x:v>https://radxa.com/products/orion/o6/</x:v>
      </x:c>
      <x:c r="Q11" s="23" t="str">
        <x:v>The 100 GB/s figure is the vendor platform specification.</x:v>
      </x:c>
    </x:row>
    <x:row r="12" ht="15" hidden="0" customHeight="1">
      <x:c r="A12" s="21" t="str">
        <x:v>NVIDIA</x:v>
      </x:c>
      <x:c r="B12" s="21" t="str">
        <x:v>Jetson AGX Orin</x:v>
      </x:c>
      <x:c r="C12" s="21" t="str">
        <x:v>Arm64; 12 Cortex-A78AE</x:v>
      </x:c>
      <x:c r="D12" s="21" t="str">
        <x:v>LPDDR5</x:v>
      </x:c>
      <x:c r="E12" s="32" t="n">
        <x:v>256</x:v>
      </x:c>
      <x:c r="F12" s="32" t="n">
        <x:v>6400</x:v>
      </x:c>
      <x:c r="G12" s="32" t="n">
        <x:v>64</x:v>
      </x:c>
      <x:c r="H12" s="29" t="n">
        <x:v>204.8</x:v>
      </x:c>
      <x:c r="I12" s="21" t="str">
        <x:v>PCIe 4.0; 22 lanes</x:v>
      </x:c>
      <x:c r="J12" s="21" t="str">
        <x:v>Ampere GPU; DLA</x:v>
      </x:c>
      <x:c r="K12" s="26"/>
      <x:c r="L12" s="21" t="str">
        <x:v>Module or developer kit</x:v>
      </x:c>
      <x:c r="M12" s="21" t="str">
        <x:v>Available through partners</x:v>
      </x:c>
      <x:c r="N12" s="21" t="str">
        <x:v>Jetson AGX Orin module</x:v>
      </x:c>
      <x:c r="O12" s="35" t="d">
        <x:v>2026-10-18T00:00:00.000Z</x:v>
      </x:c>
      <x:c r="P12" s="38" t="str">
        <x:v>https://www.nvidia.com/en-gb/autonomous-machines/embedded-systems/jetson-orin/</x:v>
      </x:c>
      <x:c r="Q12" s="21" t="str">
        <x:v>Module is the practical procurement unit; the SoC is not sold standalone.</x:v>
      </x:c>
    </x:row>
    <x:row r="13" ht="15" hidden="0" customHeight="1">
      <x:c r="A13" s="23" t="str">
        <x:v>Rockchip</x:v>
      </x:c>
      <x:c r="B13" s="23" t="str">
        <x:v>RK3588</x:v>
      </x:c>
      <x:c r="C13" s="23" t="str">
        <x:v>Armv8.2; 4x A76 + 4x A55</x:v>
      </x:c>
      <x:c r="D13" s="23" t="str">
        <x:v>LPDDR4/4X/5</x:v>
      </x:c>
      <x:c r="E13" s="33" t="n">
        <x:v>64</x:v>
      </x:c>
      <x:c r="F13" s="33" t="n">
        <x:v>5500</x:v>
      </x:c>
      <x:c r="G13" s="33" t="n">
        <x:v>32</x:v>
      </x:c>
      <x:c r="H13" s="30" t="n">
        <x:v>44</x:v>
      </x:c>
      <x:c r="I13" s="23" t="str">
        <x:v>PCIe 3.0 x4 plus PCIe 2.1</x:v>
      </x:c>
      <x:c r="J13" s="23" t="str">
        <x:v>Mali-G610 MP4; 6 TOPS NPU</x:v>
      </x:c>
      <x:c r="K13" s="27"/>
      <x:c r="L13" s="23" t="str">
        <x:v>OEM or module volume quote</x:v>
      </x:c>
      <x:c r="M13" s="23" t="str">
        <x:v>Broad board/module supply</x:v>
      </x:c>
      <x:c r="N13" s="23" t="str">
        <x:v>Mixtile, Radxa, Orange Pi and others</x:v>
      </x:c>
      <x:c r="O13" s="36" t="d">
        <x:v>2026-10-18T00:00:00.000Z</x:v>
      </x:c>
      <x:c r="P13" s="39" t="str">
        <x:v>https://rock-chip.com/socs/rk3588</x:v>
      </x:c>
      <x:c r="Q13" s="23" t="str">
        <x:v>44 GB/s is theoretical for a 64-bit LPDDR5-5500 implementation; many modules use slower LPDDR4X.</x:v>
      </x:c>
    </x:row>
    <x:row r="14" ht="15" hidden="0" customHeight="1">
      <x:c r="A14" s="21" t="str">
        <x:v>SpacemiT</x:v>
      </x:c>
      <x:c r="B14" s="21" t="str">
        <x:v>M1 / K1</x:v>
      </x:c>
      <x:c r="C14" s="21" t="str">
        <x:v>RISC-V RVA22; 8 cores</x:v>
      </x:c>
      <x:c r="D14" s="21" t="str">
        <x:v>LPDDR4X</x:v>
      </x:c>
      <x:c r="E14" s="32" t="n">
        <x:v>64</x:v>
      </x:c>
      <x:c r="F14" s="32" t="n">
        <x:v>4266</x:v>
      </x:c>
      <x:c r="G14" s="32" t="n">
        <x:v>16</x:v>
      </x:c>
      <x:c r="H14" s="29" t="n">
        <x:v>34.1</x:v>
      </x:c>
      <x:c r="I14" s="21" t="str">
        <x:v>PCIe 2.1 x2</x:v>
      </x:c>
      <x:c r="J14" s="21" t="str">
        <x:v>Integrated GPU and NPU</x:v>
      </x:c>
      <x:c r="K14" s="26"/>
      <x:c r="L14" s="21" t="str">
        <x:v>OEM or module quote</x:v>
      </x:c>
      <x:c r="M14" s="21" t="str">
        <x:v>Boards and modules available</x:v>
      </x:c>
      <x:c r="N14" s="21" t="str">
        <x:v>Milk-V Jupiter and Jupiter NX</x:v>
      </x:c>
      <x:c r="O14" s="35" t="d">
        <x:v>2026-10-18T00:00:00.000Z</x:v>
      </x:c>
      <x:c r="P14" s="38" t="str">
        <x:v>https://milkv.io/jupiter-nx</x:v>
      </x:c>
      <x:c r="Q14" s="21" t="str">
        <x:v>Bandwidth is theoretical from a 64-bit LPDDR4X-4266 interface.</x:v>
      </x:c>
    </x:row>
    <x:row r="15" ht="15" hidden="0" customHeight="1">
      <x:c r="A15" s="23" t="str">
        <x:v>MediaTek</x:v>
      </x:c>
      <x:c r="B15" s="23" t="str">
        <x:v>Dimensity 9500</x:v>
      </x:c>
      <x:c r="C15" s="23" t="str">
        <x:v>Armv9.3; 8 cores</x:v>
      </x:c>
      <x:c r="D15" s="23" t="str">
        <x:v>LPDDR5X-10667</x:v>
      </x:c>
      <x:c r="E15" s="33" t="n">
        <x:v>64</x:v>
      </x:c>
      <x:c r="F15" s="33" t="n">
        <x:v>10667</x:v>
      </x:c>
      <x:c r="G15" s="33"/>
      <x:c r="H15" s="30" t="n">
        <x:v>85.3</x:v>
      </x:c>
      <x:c r="I15" s="23" t="str">
        <x:v>Smartphone platform I/O</x:v>
      </x:c>
      <x:c r="J15" s="23" t="str">
        <x:v>Mali-G1 Ultra MC12; NPU 990</x:v>
      </x:c>
      <x:c r="K15" s="27"/>
      <x:c r="L15" s="23" t="str">
        <x:v>OEM only</x:v>
      </x:c>
      <x:c r="M15" s="23" t="str">
        <x:v>Phone manufacturers</x:v>
      </x:c>
      <x:c r="N15" s="23" t="str">
        <x:v>No public SoM</x:v>
      </x:c>
      <x:c r="O15" s="36" t="d">
        <x:v>2026-10-18T00:00:00.000Z</x:v>
      </x:c>
      <x:c r="P15" s="39" t="str">
        <x:v>https://www.mediatek.com/products/smartphones/mediatek-dimensity-9500</x:v>
      </x:c>
      <x:c r="Q15" s="23" t="str">
        <x:v>Maximum capacity is not publicly specified. Bandwidth assumes a 64-bit interface.</x:v>
      </x:c>
    </x:row>
    <x:row r="16" ht="15" hidden="0" customHeight="1">
      <x:c r="A16" s="21" t="str">
        <x:v>Samsung</x:v>
      </x:c>
      <x:c r="B16" s="21" t="str">
        <x:v>Exynos 2600</x:v>
      </x:c>
      <x:c r="C16" s="21" t="str">
        <x:v>Armv9.3; 10 cores</x:v>
      </x:c>
      <x:c r="D16" s="21" t="str">
        <x:v>LPDDR5X</x:v>
      </x:c>
      <x:c r="E16" s="32"/>
      <x:c r="F16" s="32"/>
      <x:c r="G16" s="32"/>
      <x:c r="H16" s="29"/>
      <x:c r="I16" s="21" t="str">
        <x:v>Smartphone platform I/O</x:v>
      </x:c>
      <x:c r="J16" s="21" t="str">
        <x:v>Xclipse 960 GPU; NPU</x:v>
      </x:c>
      <x:c r="K16" s="26"/>
      <x:c r="L16" s="21" t="str">
        <x:v>OEM only</x:v>
      </x:c>
      <x:c r="M16" s="21" t="str">
        <x:v>Samsung mobile products</x:v>
      </x:c>
      <x:c r="N16" s="21" t="str">
        <x:v>No public SoM</x:v>
      </x:c>
      <x:c r="O16" s="35" t="d">
        <x:v>2026-10-18T00:00:00.000Z</x:v>
      </x:c>
      <x:c r="P16" s="38" t="str">
        <x:v>https://semiconductor.samsung.com/processor/mobile-processor/exynos-2600/</x:v>
      </x:c>
      <x:c r="Q16" s="21" t="str">
        <x:v>Samsung does not publish the memory bus width, capacity ceiling or peak bandwidth on the public product page.</x:v>
      </x:c>
    </x:row>
  </x:sheetData>
  <x:pageMargins left="0.7" right="0.7" top="0.75" bottom="0.75" header="0.3" footer="0.3"/>
  <x:tableParts count="1">
    <x:tablePart xmlns:r="http://schemas.openxmlformats.org/officeDocument/2006/relationships" r:id="R0668e2d96c2a408b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25" hidden="0" customWidth="1"/>
    <x:col min="4" max="4" width="28" hidden="0" customWidth="1"/>
    <x:col min="5" max="5" width="11.109999656677246" hidden="0" customWidth="1"/>
    <x:col min="6" max="6" width="13.220000267028809" hidden="0" customWidth="1"/>
    <x:col min="7" max="7" width="16.670000076293945" hidden="0" customWidth="1"/>
    <x:col min="8" max="8" width="31" hidden="0" customWidth="1"/>
    <x:col min="9" max="9" width="27" hidden="0" customWidth="1"/>
    <x:col min="10" max="10" width="7.78000020980835" hidden="0" customWidth="1"/>
    <x:col min="11" max="11" width="8.670000076293945" hidden="0" customWidth="1"/>
    <x:col min="12" max="12" width="24" hidden="0" customWidth="1"/>
    <x:col min="13" max="13" width="25" hidden="0" customWidth="1"/>
    <x:col min="14" max="14" width="7.559999942779541" hidden="0" customWidth="1"/>
    <x:col min="15" max="15" width="11.4399995803833" hidden="0" customWidth="1"/>
    <x:col min="16" max="16" width="17.780000686645508" hidden="0" customWidth="1"/>
    <x:col min="17" max="17" width="42" hidden="0" customWidth="1"/>
    <x:col min="18" max="18" width="58" hidden="0" customWidth="1"/>
  </x:cols>
  <x:sheetData>
    <x:row r="2">
      <x:c r="A2" s="1" t="str">
        <x:v>System-on-module database</x:v>
      </x:c>
    </x:row>
    <x:row r="3" ht="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18" customHeight="1">
      <x:c r="A4" s="24" t="str">
        <x:v>One-TiB figures count modules only. Carrier boards, cooling, storage, networking and power are excluded.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</x:row>
    <x:row r="6" ht="32" hidden="0" customHeight="1">
      <x:c r="A6" s="16" t="str">
        <x:v>Vendor</x:v>
      </x:c>
      <x:c r="B6" s="17" t="str">
        <x:v>Module</x:v>
      </x:c>
      <x:c r="C6" s="17" t="str">
        <x:v>SoC</x:v>
      </x:c>
      <x:c r="D6" s="17" t="str">
        <x:v>Form factor / pinout</x:v>
      </x:c>
      <x:c r="E6" s="17" t="str">
        <x:v>Memory type</x:v>
      </x:c>
      <x:c r="F6" s="17" t="str">
        <x:v>Max memory (GB)</x:v>
      </x:c>
      <x:c r="G6" s="17" t="str">
        <x:v>Peak bandwidth (GB/s)</x:v>
      </x:c>
      <x:c r="H6" s="17" t="str">
        <x:v>PCIe</x:v>
      </x:c>
      <x:c r="I6" s="17" t="str">
        <x:v>Network</x:v>
      </x:c>
      <x:c r="J6" s="17" t="str">
        <x:v>Power (W)</x:v>
      </x:c>
      <x:c r="K6" s="17" t="str">
        <x:v>Price (USD)</x:v>
      </x:c>
      <x:c r="L6" s="17" t="str">
        <x:v>Price basis</x:v>
      </x:c>
      <x:c r="M6" s="17" t="str">
        <x:v>Availability</x:v>
      </x:c>
      <x:c r="N6" s="17" t="str">
        <x:v>Price date</x:v>
      </x:c>
      <x:c r="O6" s="17" t="str">
        <x:v>Nodes for 1 TiB</x:v>
      </x:c>
      <x:c r="P6" s="17" t="str">
        <x:v>1 TiB module cost (USD)</x:v>
      </x:c>
      <x:c r="Q6" s="17" t="str">
        <x:v>Source</x:v>
      </x:c>
      <x:c r="R6" s="18" t="str">
        <x:v>Notes</x:v>
      </x:c>
    </x:row>
    <x:row r="7" ht="15" hidden="0" customHeight="1">
      <x:c r="A7" s="22" t="str">
        <x:v>Milk-V</x:v>
      </x:c>
      <x:c r="B7" s="22" t="str">
        <x:v>Jupiter NX</x:v>
      </x:c>
      <x:c r="C7" s="22" t="str">
        <x:v>SpacemiT M1</x:v>
      </x:c>
      <x:c r="D7" s="22" t="str">
        <x:v>Jetson-compatible 260-pin</x:v>
      </x:c>
      <x:c r="E7" s="22" t="str">
        <x:v>LPDDR4X</x:v>
      </x:c>
      <x:c r="F7" s="31" t="n">
        <x:v>16</x:v>
      </x:c>
      <x:c r="G7" s="28" t="n">
        <x:v>34.1</x:v>
      </x:c>
      <x:c r="H7" s="22" t="str">
        <x:v>PCIe 2.1 x2</x:v>
      </x:c>
      <x:c r="I7" s="22" t="str">
        <x:v>Carrier-dependent; usually 1GbE</x:v>
      </x:c>
      <x:c r="J7" s="31"/>
      <x:c r="K7" s="25" t="n">
        <x:v>109.9</x:v>
      </x:c>
      <x:c r="L7" s="22" t="str">
        <x:v>Retail listing</x:v>
      </x:c>
      <x:c r="M7" s="22" t="str">
        <x:v>Retail listing; stock varies</x:v>
      </x:c>
      <x:c r="N7" s="34" t="d">
        <x:v>2026-10-18T00:00:00.000Z</x:v>
      </x:c>
      <x:c r="O7" s="31" t="n">
        <x:f>IF(OR(F7="",F7=0),"",ROUNDUP(1024/F7,0))</x:f>
        <x:v>64</x:v>
      </x:c>
      <x:c r="P7" s="25" t="n">
        <x:f>IF(OR(K7="",K7=0,O7=""),"",K7*O7)</x:f>
        <x:v>7033.6</x:v>
      </x:c>
      <x:c r="Q7" s="37" t="str">
        <x:v>https://arace.tech/products/milk-v-jupiter-nx?variant=43904659718324</x:v>
      </x:c>
      <x:c r="R7" s="22" t="str">
        <x:v>Lowest-cost module in this table, but bandwidth and host I/O are modest.</x:v>
      </x:c>
    </x:row>
    <x:row r="8" ht="15" hidden="0" customHeight="1">
      <x:c r="A8" s="21" t="str">
        <x:v>Mixtile</x:v>
      </x:c>
      <x:c r="B8" s="21" t="str">
        <x:v>Core 3588E</x:v>
      </x:c>
      <x:c r="C8" s="21" t="str">
        <x:v>Rockchip RK3588</x:v>
      </x:c>
      <x:c r="D8" s="21" t="str">
        <x:v>Jetson TX2 NX-compatible 260-pin</x:v>
      </x:c>
      <x:c r="E8" s="21" t="str">
        <x:v>LPDDR4</x:v>
      </x:c>
      <x:c r="F8" s="32" t="n">
        <x:v>32</x:v>
      </x:c>
      <x:c r="G8" s="29" t="n">
        <x:v>34.1</x:v>
      </x:c>
      <x:c r="H8" s="21" t="str">
        <x:v>PCIe 3.0 x4 + 2.1 x1</x:v>
      </x:c>
      <x:c r="I8" s="21" t="str">
        <x:v>1GbE</x:v>
      </x:c>
      <x:c r="J8" s="32"/>
      <x:c r="K8" s="26" t="n">
        <x:v>338</x:v>
      </x:c>
      <x:c r="L8" s="21" t="str">
        <x:v>Vendor store maximum variant</x:v>
      </x:c>
      <x:c r="M8" s="21" t="str">
        <x:v>Out of stock at vendor store</x:v>
      </x:c>
      <x:c r="N8" s="35" t="d">
        <x:v>2026-10-18T00:00:00.000Z</x:v>
      </x:c>
      <x:c r="O8" s="31" t="n">
        <x:f>IF(OR(F8="",F8=0),"",ROUNDUP(1024/F8,0))</x:f>
        <x:v>32</x:v>
      </x:c>
      <x:c r="P8" s="25" t="n">
        <x:f>IF(OR(K8="",K8=0,O8=""),"",K8*O8)</x:f>
        <x:v>10816</x:v>
      </x:c>
      <x:c r="Q8" s="38" t="str">
        <x:v>https://www.mixtile.com/store/</x:v>
      </x:c>
      <x:c r="R8" s="21" t="str">
        <x:v>Pin-compatible claims have carrier-board exceptions. Check every high-speed pin before reusing a carrier.</x:v>
      </x:c>
    </x:row>
    <x:row r="9" ht="15" hidden="0" customHeight="1">
      <x:c r="A9" s="23" t="str">
        <x:v>NVIDIA</x:v>
      </x:c>
      <x:c r="B9" s="23" t="str">
        <x:v>Jetson Xavier NX 16GB</x:v>
      </x:c>
      <x:c r="C9" s="23" t="str">
        <x:v>Xavier</x:v>
      </x:c>
      <x:c r="D9" s="23" t="str">
        <x:v>Jetson SO-DIMM</x:v>
      </x:c>
      <x:c r="E9" s="23" t="str">
        <x:v>LPDDR4X</x:v>
      </x:c>
      <x:c r="F9" s="33" t="n">
        <x:v>16</x:v>
      </x:c>
      <x:c r="G9" s="30" t="n">
        <x:v>59.7</x:v>
      </x:c>
      <x:c r="H9" s="23" t="str">
        <x:v>PCIe Gen4; module-dependent lanes</x:v>
      </x:c>
      <x:c r="I9" s="23" t="str">
        <x:v>Carrier-dependent</x:v>
      </x:c>
      <x:c r="J9" s="33" t="n">
        <x:v>20</x:v>
      </x:c>
      <x:c r="K9" s="27" t="n">
        <x:v>250</x:v>
      </x:c>
      <x:c r="L9" s="23" t="str">
        <x:v>Typical used estimate</x:v>
      </x:c>
      <x:c r="M9" s="23" t="str">
        <x:v>Used market</x:v>
      </x:c>
      <x:c r="N9" s="36" t="d">
        <x:v>2026-10-18T00:00:00.000Z</x:v>
      </x:c>
      <x:c r="O9" s="31" t="n">
        <x:f>IF(OR(F9="",F9=0),"",ROUNDUP(1024/F9,0))</x:f>
        <x:v>64</x:v>
      </x:c>
      <x:c r="P9" s="25" t="n">
        <x:f>IF(OR(K9="",K9=0,O9=""),"",K9*O9)</x:f>
        <x:v>16000</x:v>
      </x:c>
      <x:c r="Q9" s="39" t="str">
        <x:v>https://www.nvidia.com/en-us/autonomous-machines/embedded-systems/jetson-xavier-nx/</x:v>
      </x:c>
      <x:c r="R9" s="23" t="str">
        <x:v>Old but mature. Used modules may have unknown flash wear and thermal history.</x:v>
      </x:c>
    </x:row>
    <x:row r="10" ht="15" hidden="0" customHeight="1">
      <x:c r="A10" s="21" t="str">
        <x:v>NVIDIA</x:v>
      </x:c>
      <x:c r="B10" s="21" t="str">
        <x:v>Jetson Orin NX 16GB</x:v>
      </x:c>
      <x:c r="C10" s="21" t="str">
        <x:v>Orin</x:v>
      </x:c>
      <x:c r="D10" s="21" t="str">
        <x:v>Jetson SO-DIMM</x:v>
      </x:c>
      <x:c r="E10" s="21" t="str">
        <x:v>LPDDR5</x:v>
      </x:c>
      <x:c r="F10" s="32" t="n">
        <x:v>16</x:v>
      </x:c>
      <x:c r="G10" s="29" t="n">
        <x:v>102.4</x:v>
      </x:c>
      <x:c r="H10" s="21" t="str">
        <x:v>Up to seven PCIe lanes</x:v>
      </x:c>
      <x:c r="I10" s="21" t="str">
        <x:v>Carrier-dependent</x:v>
      </x:c>
      <x:c r="J10" s="32" t="n">
        <x:v>40</x:v>
      </x:c>
      <x:c r="K10" s="26" t="n">
        <x:v>999</x:v>
      </x:c>
      <x:c r="L10" s="21" t="str">
        <x:v>1KU module price</x:v>
      </x:c>
      <x:c r="M10" s="21" t="str">
        <x:v>Available through partners</x:v>
      </x:c>
      <x:c r="N10" s="35" t="d">
        <x:v>2026-10-18T00:00:00.000Z</x:v>
      </x:c>
      <x:c r="O10" s="31" t="n">
        <x:f>IF(OR(F10="",F10=0),"",ROUNDUP(1024/F10,0))</x:f>
        <x:v>64</x:v>
      </x:c>
      <x:c r="P10" s="25" t="n">
        <x:f>IF(OR(K10="",K10=0,O10=""),"",K10*O10)</x:f>
        <x:v>63936</x:v>
      </x:c>
      <x:c r="Q10" s="38" t="str">
        <x:v>https://developer.nvidia.com/embedded/faq</x:v>
      </x:c>
      <x:c r="R10" s="21" t="str">
        <x:v>Good compute and software support, but expensive per GB for a memory-capacity cluster.</x:v>
      </x:c>
    </x:row>
    <x:row r="11" ht="15" hidden="0" customHeight="1">
      <x:c r="A11" s="23" t="str">
        <x:v>NVIDIA</x:v>
      </x:c>
      <x:c r="B11" s="23" t="str">
        <x:v>Jetson AGX Orin 64GB</x:v>
      </x:c>
      <x:c r="C11" s="23" t="str">
        <x:v>Orin</x:v>
      </x:c>
      <x:c r="D11" s="23" t="str">
        <x:v>699-pin board-to-board</x:v>
      </x:c>
      <x:c r="E11" s="23" t="str">
        <x:v>LPDDR5</x:v>
      </x:c>
      <x:c r="F11" s="33" t="n">
        <x:v>64</x:v>
      </x:c>
      <x:c r="G11" s="30" t="n">
        <x:v>204.8</x:v>
      </x:c>
      <x:c r="H11" s="23" t="str">
        <x:v>PCIe 4.0; 22 lanes</x:v>
      </x:c>
      <x:c r="I11" s="23" t="str">
        <x:v>Carrier-dependent</x:v>
      </x:c>
      <x:c r="J11" s="33" t="n">
        <x:v>60</x:v>
      </x:c>
      <x:c r="K11" s="27" t="n">
        <x:v>3499</x:v>
      </x:c>
      <x:c r="L11" s="23" t="str">
        <x:v>Developer-kit price</x:v>
      </x:c>
      <x:c r="M11" s="23" t="str">
        <x:v>Available through partners</x:v>
      </x:c>
      <x:c r="N11" s="36" t="d">
        <x:v>2026-10-18T00:00:00.000Z</x:v>
      </x:c>
      <x:c r="O11" s="31" t="n">
        <x:f>IF(OR(F11="",F11=0),"",ROUNDUP(1024/F11,0))</x:f>
        <x:v>16</x:v>
      </x:c>
      <x:c r="P11" s="25" t="n">
        <x:f>IF(OR(K11="",K11=0,O11=""),"",K11*O11)</x:f>
        <x:v>55984</x:v>
      </x:c>
      <x:c r="Q11" s="39" t="str">
        <x:v>https://developer.nvidia.com/embedded/faq</x:v>
      </x:c>
      <x:c r="R11" s="23" t="str">
        <x:v>Price is for the developer kit, not a bare module.</x:v>
      </x:c>
    </x:row>
    <x:row r="12" ht="15" hidden="0" customHeight="1">
      <x:c r="A12" s="21" t="str">
        <x:v>TRIA</x:v>
      </x:c>
      <x:c r="B12" s="21" t="str">
        <x:v>HMM-IQX</x:v>
      </x:c>
      <x:c r="C12" s="21" t="str">
        <x:v>Qualcomm Dragonwing IQ-X</x:v>
      </x:c>
      <x:c r="D12" s="21" t="str">
        <x:v>COM-HPC Mini</x:v>
      </x:c>
      <x:c r="E12" s="21" t="str">
        <x:v>LPDDR5X-8448</x:v>
      </x:c>
      <x:c r="F12" s="32" t="n">
        <x:v>64</x:v>
      </x:c>
      <x:c r="G12" s="29" t="n">
        <x:v>135.2</x:v>
      </x:c>
      <x:c r="H12" s="21" t="str">
        <x:v>PCIe Gen4 x8 plus x4; carrier-dependent</x:v>
      </x:c>
      <x:c r="I12" s="21" t="str">
        <x:v>Up to 2.5GbE on module</x:v>
      </x:c>
      <x:c r="J12" s="32"/>
      <x:c r="K12" s="26"/>
      <x:c r="L12" s="21" t="str">
        <x:v>Quote only</x:v>
      </x:c>
      <x:c r="M12" s="21" t="str">
        <x:v>Order code TBD; contact vendor</x:v>
      </x:c>
      <x:c r="N12" s="35" t="d">
        <x:v>2026-10-18T00:00:00.000Z</x:v>
      </x:c>
      <x:c r="O12" s="31" t="n">
        <x:f>IF(OR(F12="",F12=0),"",ROUNDUP(1024/F12,0))</x:f>
        <x:v>16</x:v>
      </x:c>
      <x:c r="P12" s="25" t="str">
        <x:f>IF(OR(K12="",K12=0,O12=""),"",K12*O12)</x:f>
      </x:c>
      <x:c r="Q12" s="38" t="str">
        <x:v>https://www.tria-technologies.com/product/tria-hmm-iqx/</x:v>
      </x:c>
      <x:c r="R12" s="21" t="str">
        <x:v>One of the few announced 64 GB LPDDR5X embedded modules. Public pricing is not available.</x:v>
      </x:c>
    </x:row>
  </x:sheetData>
  <x:pageMargins left="0.7" right="0.7" top="0.75" bottom="0.75" header="0.3" footer="0.3"/>
  <x:tableParts count="1">
    <x:tablePart xmlns:r="http://schemas.openxmlformats.org/officeDocument/2006/relationships" r:id="Rcb457506d1c24271"/>
  </x:tableParts>
</x:worksheet>
</file>

<file path=xl/worksheets/sheet6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22" hidden="0" customWidth="1"/>
    <x:col min="4" max="4" width="9.670000076293945" hidden="0" customWidth="1"/>
    <x:col min="5" max="5" width="9.779999732971191" hidden="0" customWidth="1"/>
    <x:col min="6" max="6" width="16.670000076293945" hidden="0" customWidth="1"/>
    <x:col min="7" max="7" width="30" hidden="0" customWidth="1"/>
    <x:col min="8" max="8" width="38" hidden="0" customWidth="1"/>
    <x:col min="9" max="9" width="6.21999979019165" hidden="0" customWidth="1"/>
    <x:col min="10" max="10" width="8.670000076293945" hidden="0" customWidth="1"/>
    <x:col min="11" max="11" width="24" hidden="0" customWidth="1"/>
    <x:col min="12" max="12" width="28" hidden="0" customWidth="1"/>
    <x:col min="13" max="13" width="7.559999942779541" hidden="0" customWidth="1"/>
    <x:col min="14" max="14" width="11.4399995803833" hidden="0" customWidth="1"/>
    <x:col min="15" max="15" width="17.110000610351562" hidden="0" customWidth="1"/>
    <x:col min="16" max="16" width="42" hidden="0" customWidth="1"/>
    <x:col min="17" max="17" width="60" hidden="0" customWidth="1"/>
  </x:cols>
  <x:sheetData>
    <x:row r="2">
      <x:c r="A2" s="1" t="str">
        <x:v>Accelerator and FPGA database</x:v>
      </x:c>
    </x:row>
    <x:row r="3" ht="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18" customHeight="1">
      <x:c r="A4" s="24" t="str">
        <x:v>This tab covers non-GPU accelerators and programmable cards with local high-bandwidth memory or unusually fast links.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</x:row>
    <x:row r="6" ht="32" hidden="0" customHeight="1">
      <x:c r="A6" s="16" t="str">
        <x:v>Vendor</x:v>
      </x:c>
      <x:c r="B6" s="17" t="str">
        <x:v>Model</x:v>
      </x:c>
      <x:c r="C6" s="17" t="str">
        <x:v>Type</x:v>
      </x:c>
      <x:c r="D6" s="17" t="str">
        <x:v>Memory type</x:v>
      </x:c>
      <x:c r="E6" s="17" t="str">
        <x:v>Memory (GB)</x:v>
      </x:c>
      <x:c r="F6" s="17" t="str">
        <x:v>Peak bandwidth (GB/s)</x:v>
      </x:c>
      <x:c r="G6" s="17" t="str">
        <x:v>Host interface</x:v>
      </x:c>
      <x:c r="H6" s="17" t="str">
        <x:v>Scale-out / peer links</x:v>
      </x:c>
      <x:c r="I6" s="17" t="str">
        <x:v>TDP (W)</x:v>
      </x:c>
      <x:c r="J6" s="17" t="str">
        <x:v>Price (USD)</x:v>
      </x:c>
      <x:c r="K6" s="17" t="str">
        <x:v>Price basis</x:v>
      </x:c>
      <x:c r="L6" s="17" t="str">
        <x:v>Availability</x:v>
      </x:c>
      <x:c r="M6" s="17" t="str">
        <x:v>Price date</x:v>
      </x:c>
      <x:c r="N6" s="17" t="str">
        <x:v>Nodes for 1 TiB</x:v>
      </x:c>
      <x:c r="O6" s="17" t="str">
        <x:v>1 TiB device cost (USD)</x:v>
      </x:c>
      <x:c r="P6" s="17" t="str">
        <x:v>Source</x:v>
      </x:c>
      <x:c r="Q6" s="18" t="str">
        <x:v>Notes</x:v>
      </x:c>
    </x:row>
    <x:row r="7" ht="15" hidden="0" customHeight="1">
      <x:c r="A7" s="22" t="str">
        <x:v>Tenstorrent</x:v>
      </x:c>
      <x:c r="B7" s="22" t="str">
        <x:v>Blackhole p150a</x:v>
      </x:c>
      <x:c r="C7" s="22" t="str">
        <x:v>AI accelerator</x:v>
      </x:c>
      <x:c r="D7" s="22" t="str">
        <x:v>GDDR6</x:v>
      </x:c>
      <x:c r="E7" s="31" t="n">
        <x:v>32</x:v>
      </x:c>
      <x:c r="F7" s="28" t="n">
        <x:v>512</x:v>
      </x:c>
      <x:c r="G7" s="22" t="str">
        <x:v>PCIe 5.0 x16</x:v>
      </x:c>
      <x:c r="H7" s="22" t="str">
        <x:v>4x QSFP-DD 800G</x:v>
      </x:c>
      <x:c r="I7" s="31" t="n">
        <x:v>300</x:v>
      </x:c>
      <x:c r="J7" s="25" t="n">
        <x:v>1399</x:v>
      </x:c>
      <x:c r="K7" s="22" t="str">
        <x:v>Current vendor retail</x:v>
      </x:c>
      <x:c r="L7" s="22" t="str">
        <x:v>In stock; ships in about two weeks</x:v>
      </x:c>
      <x:c r="M7" s="34" t="d">
        <x:v>2026-10-18T00:00:00.000Z</x:v>
      </x:c>
      <x:c r="N7" s="31" t="n">
        <x:f>IF(OR(E7="",E7=0),"",ROUNDUP(1024/E7,0))</x:f>
        <x:v>32</x:v>
      </x:c>
      <x:c r="O7" s="25" t="n">
        <x:f>IF(OR(J7="",J7=0,N7=""),"",J7*N7)</x:f>
        <x:v>44768</x:v>
      </x:c>
      <x:c r="P7" s="37" t="str">
        <x:v>https://tenstorrent.com/hardware/cards</x:v>
      </x:c>
      <x:c r="Q7" s="22" t="str">
        <x:v>The QSFP-DD ports are for Tenstorrent card-to-card links. This is the strongest prototype candidate for high-speed scale-out.</x:v>
      </x:c>
    </x:row>
    <x:row r="8" ht="15" hidden="0" customHeight="1">
      <x:c r="A8" s="21" t="str">
        <x:v>Tenstorrent</x:v>
      </x:c>
      <x:c r="B8" s="21" t="str">
        <x:v>Wormhole n300d</x:v>
      </x:c>
      <x:c r="C8" s="21" t="str">
        <x:v>AI accelerator</x:v>
      </x:c>
      <x:c r="D8" s="21" t="str">
        <x:v>GDDR6</x:v>
      </x:c>
      <x:c r="E8" s="32" t="n">
        <x:v>24</x:v>
      </x:c>
      <x:c r="F8" s="29" t="n">
        <x:v>576</x:v>
      </x:c>
      <x:c r="G8" s="21" t="str">
        <x:v>PCIe 4.0 x16</x:v>
      </x:c>
      <x:c r="H8" s="21" t="str">
        <x:v>2x QSFP-DD 200G plus Warp bridges</x:v>
      </x:c>
      <x:c r="I8" s="32" t="n">
        <x:v>300</x:v>
      </x:c>
      <x:c r="J8" s="26" t="n">
        <x:v>1399</x:v>
      </x:c>
      <x:c r="K8" s="21" t="str">
        <x:v>Vendor retail</x:v>
      </x:c>
      <x:c r="L8" s="21" t="str">
        <x:v>Available; previous generation</x:v>
      </x:c>
      <x:c r="M8" s="35" t="d">
        <x:v>2026-10-18T00:00:00.000Z</x:v>
      </x:c>
      <x:c r="N8" s="31" t="n">
        <x:f>IF(OR(E8="",E8=0),"",ROUNDUP(1024/E8,0))</x:f>
        <x:v>43</x:v>
      </x:c>
      <x:c r="O8" s="25" t="n">
        <x:f>IF(OR(J8="",J8=0,N8=""),"",J8*N8)</x:f>
        <x:v>60157</x:v>
      </x:c>
      <x:c r="P8" s="38" t="str">
        <x:v>https://docs.tenstorrent.com/aibs/wormhole/index.html</x:v>
      </x:c>
      <x:c r="Q8" s="21" t="str">
        <x:v>Less memory than Blackhole p150a and similar price.</x:v>
      </x:c>
    </x:row>
    <x:row r="9" ht="15" hidden="0" customHeight="1">
      <x:c r="A9" s="23" t="str">
        <x:v>Intel</x:v>
      </x:c>
      <x:c r="B9" s="23" t="str">
        <x:v>Gaudi2</x:v>
      </x:c>
      <x:c r="C9" s="23" t="str">
        <x:v>AI accelerator</x:v>
      </x:c>
      <x:c r="D9" s="23" t="str">
        <x:v>HBM2e</x:v>
      </x:c>
      <x:c r="E9" s="33" t="n">
        <x:v>96</x:v>
      </x:c>
      <x:c r="F9" s="30" t="n">
        <x:v>2450</x:v>
      </x:c>
      <x:c r="G9" s="23" t="str">
        <x:v>PCIe Gen3/4 x16 host</x:v>
      </x:c>
      <x:c r="H9" s="23" t="str">
        <x:v>24x 100GbE RoCE v2</x:v>
      </x:c>
      <x:c r="I9" s="33" t="n">
        <x:v>600</x:v>
      </x:c>
      <x:c r="J9" s="27"/>
      <x:c r="K9" s="23" t="str">
        <x:v>System or OEM quote</x:v>
      </x:c>
      <x:c r="L9" s="23" t="str">
        <x:v>Mostly sold in complete servers</x:v>
      </x:c>
      <x:c r="M9" s="36" t="d">
        <x:v>2026-10-18T00:00:00.000Z</x:v>
      </x:c>
      <x:c r="N9" s="31" t="n">
        <x:f>IF(OR(E9="",E9=0),"",ROUNDUP(1024/E9,0))</x:f>
        <x:v>11</x:v>
      </x:c>
      <x:c r="O9" s="25" t="str">
        <x:f>IF(OR(J9="",J9=0,N9=""),"",J9*N9)</x:f>
      </x:c>
      <x:c r="P9" s="39" t="str">
        <x:v>https://cdrdv2-public.intel.com/839363/Intel-Gaudi2-AI-Accelerators-whitepaper.pdf</x:v>
      </x:c>
      <x:c r="Q9" s="23" t="str">
        <x:v>Integrated Ethernet fabric is unusually strong. Complete used eight-card servers are listed separately on Platform.</x:v>
      </x:c>
    </x:row>
    <x:row r="10" ht="15" hidden="0" customHeight="1">
      <x:c r="A10" s="21" t="str">
        <x:v>AMD</x:v>
      </x:c>
      <x:c r="B10" s="21" t="str">
        <x:v>Alveo V80</x:v>
      </x:c>
      <x:c r="C10" s="21" t="str">
        <x:v>FPGA / adaptive SoC</x:v>
      </x:c>
      <x:c r="D10" s="21" t="str">
        <x:v>HBM2e</x:v>
      </x:c>
      <x:c r="E10" s="32" t="n">
        <x:v>32</x:v>
      </x:c>
      <x:c r="F10" s="29" t="n">
        <x:v>819</x:v>
      </x:c>
      <x:c r="G10" s="21" t="str">
        <x:v>PCIe Gen5 x8x8 or Gen4 x16</x:v>
      </x:c>
      <x:c r="H10" s="21" t="str">
        <x:v>4x QSFP56; up to 800Gb/s aggregate</x:v>
      </x:c>
      <x:c r="I10" s="32" t="n">
        <x:v>190</x:v>
      </x:c>
      <x:c r="J10" s="26" t="n">
        <x:v>9495</x:v>
      </x:c>
      <x:c r="K10" s="21" t="str">
        <x:v>Published launch price</x:v>
      </x:c>
      <x:c r="L10" s="21" t="str">
        <x:v>Order through AMD channel</x:v>
      </x:c>
      <x:c r="M10" s="35" t="d">
        <x:v>2026-10-18T00:00:00.000Z</x:v>
      </x:c>
      <x:c r="N10" s="31" t="n">
        <x:f>IF(OR(E10="",E10=0),"",ROUNDUP(1024/E10,0))</x:f>
        <x:v>32</x:v>
      </x:c>
      <x:c r="O10" s="25" t="n">
        <x:f>IF(OR(J10="",J10=0,N10=""),"",J10*N10)</x:f>
        <x:v>303840</x:v>
      </x:c>
      <x:c r="P10" s="38" t="str">
        <x:v>https://www.amd.com/en/products/accelerators/alveo/v80.html</x:v>
      </x:c>
      <x:c r="Q10" s="21" t="str">
        <x:v>Programmable hardware can implement custom decode engines, but development cost is high.</x:v>
      </x:c>
    </x:row>
    <x:row r="11" ht="15" hidden="0" customHeight="1">
      <x:c r="A11" s="23" t="str">
        <x:v>Intel</x:v>
      </x:c>
      <x:c r="B11" s="23" t="str">
        <x:v>Stratix 10 MX dev kit</x:v>
      </x:c>
      <x:c r="C11" s="23" t="str">
        <x:v>FPGA</x:v>
      </x:c>
      <x:c r="D11" s="23" t="str">
        <x:v>HBM2</x:v>
      </x:c>
      <x:c r="E11" s="33" t="n">
        <x:v>16</x:v>
      </x:c>
      <x:c r="F11" s="30" t="n">
        <x:v>512</x:v>
      </x:c>
      <x:c r="G11" s="23" t="str">
        <x:v>PCIe 3.0 x16</x:v>
      </x:c>
      <x:c r="H11" s="23" t="str">
        <x:v>Board-dependent</x:v>
      </x:c>
      <x:c r="I11" s="33"/>
      <x:c r="J11" s="27"/>
      <x:c r="K11" s="23" t="str">
        <x:v>Quote only</x:v>
      </x:c>
      <x:c r="L11" s="23" t="str">
        <x:v>Development kit channel</x:v>
      </x:c>
      <x:c r="M11" s="36" t="d">
        <x:v>2026-10-18T00:00:00.000Z</x:v>
      </x:c>
      <x:c r="N11" s="31" t="n">
        <x:f>IF(OR(E11="",E11=0),"",ROUNDUP(1024/E11,0))</x:f>
        <x:v>64</x:v>
      </x:c>
      <x:c r="O11" s="25" t="str">
        <x:f>IF(OR(J11="",J11=0,N11=""),"",J11*N11)</x:f>
      </x:c>
      <x:c r="P11" s="39" t="str">
        <x:v>https://www.intel.com/content/www/us/en/products/sku/235234/intel-stratix-10-mx-fpga-development-kit-production-htile-16-gb-hbm2/specifications.html</x:v>
      </x:c>
      <x:c r="Q11" s="23" t="str">
        <x:v>Useful for memory-controller and custom-pipeline experiments, but not a low-cost path to one TiB.</x:v>
      </x:c>
    </x:row>
  </x:sheetData>
  <x:pageMargins left="0.7" right="0.7" top="0.75" bottom="0.75" header="0.3" footer="0.3"/>
  <x:tableParts count="1">
    <x:tablePart xmlns:r="http://schemas.openxmlformats.org/officeDocument/2006/relationships" r:id="Rfb33ed796049480e"/>
  </x:tableParts>
</x:worksheet>
</file>

<file path=xl/worksheets/sheet7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34" hidden="0" customWidth="1"/>
    <x:col min="3" max="3" width="23" hidden="0" customWidth="1"/>
    <x:col min="4" max="4" width="31" hidden="0" customWidth="1"/>
    <x:col min="5" max="5" width="31" hidden="0" customWidth="1"/>
    <x:col min="6" max="6" width="13.670000076293945" hidden="0" customWidth="1"/>
    <x:col min="7" max="7" width="24.889999389648438" hidden="0" customWidth="1"/>
    <x:col min="8" max="8" width="39" hidden="0" customWidth="1"/>
    <x:col min="9" max="9" width="34" hidden="0" customWidth="1"/>
    <x:col min="10" max="10" width="7.78000020980835" hidden="0" customWidth="1"/>
    <x:col min="11" max="11" width="8.670000076293945" hidden="0" customWidth="1"/>
    <x:col min="12" max="12" width="30" hidden="0" customWidth="1"/>
    <x:col min="13" max="13" width="28" hidden="0" customWidth="1"/>
    <x:col min="14" max="14" width="7.559999942779541" hidden="0" customWidth="1"/>
    <x:col min="15" max="15" width="13" hidden="0" customWidth="1"/>
    <x:col min="16" max="16" width="17.559999465942383" hidden="0" customWidth="1"/>
    <x:col min="17" max="17" width="42" hidden="0" customWidth="1"/>
    <x:col min="18" max="18" width="62" hidden="0" customWidth="1"/>
  </x:cols>
  <x:sheetData>
    <x:row r="2">
      <x:c r="A2" s="1" t="str">
        <x:v>Complete systems and platforms</x:v>
      </x:c>
    </x:row>
    <x:row r="3" ht="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18" customHeight="1">
      <x:c r="A4" s="24" t="str">
        <x:v>Complete-system prices are more comparable than chip prices for platforms with soldered memory or proprietary carriers.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</x:row>
    <x:row r="6" ht="32" hidden="0" customHeight="1">
      <x:c r="A6" s="16" t="str">
        <x:v>Vendor</x:v>
      </x:c>
      <x:c r="B6" s="17" t="str">
        <x:v>System</x:v>
      </x:c>
      <x:c r="C6" s="17" t="str">
        <x:v>Platform type</x:v>
      </x:c>
      <x:c r="D6" s="17" t="str">
        <x:v>Compute</x:v>
      </x:c>
      <x:c r="E6" s="17" t="str">
        <x:v>Memory type</x:v>
      </x:c>
      <x:c r="F6" s="17" t="str">
        <x:v>Total memory (GB)</x:v>
      </x:c>
      <x:c r="G6" s="17" t="str">
        <x:v>Peak / aggregate bandwidth (GB/s)</x:v>
      </x:c>
      <x:c r="H6" s="17" t="str">
        <x:v>Node interconnect</x:v>
      </x:c>
      <x:c r="I6" s="17" t="str">
        <x:v>Host expansion</x:v>
      </x:c>
      <x:c r="J6" s="17" t="str">
        <x:v>Power (W)</x:v>
      </x:c>
      <x:c r="K6" s="17" t="str">
        <x:v>Price (USD)</x:v>
      </x:c>
      <x:c r="L6" s="17" t="str">
        <x:v>Price basis</x:v>
      </x:c>
      <x:c r="M6" s="17" t="str">
        <x:v>Availability</x:v>
      </x:c>
      <x:c r="N6" s="17" t="str">
        <x:v>Price date</x:v>
      </x:c>
      <x:c r="O6" s="17" t="str">
        <x:v>Systems for 1 TiB</x:v>
      </x:c>
      <x:c r="P6" s="17" t="str">
        <x:v>1 TiB system cost (USD)</x:v>
      </x:c>
      <x:c r="Q6" s="17" t="str">
        <x:v>Source</x:v>
      </x:c>
      <x:c r="R6" s="18" t="str">
        <x:v>Notes</x:v>
      </x:c>
    </x:row>
    <x:row r="7" ht="15" hidden="0" customHeight="1">
      <x:c r="A7" s="22" t="str">
        <x:v>Supermicro / Intel</x:v>
      </x:c>
      <x:c r="B7" s="22" t="str">
        <x:v>SYS-820GH-TNR2 with 8x Gaudi2</x:v>
      </x:c>
      <x:c r="C7" s="22" t="str">
        <x:v>8-accelerator server</x:v>
      </x:c>
      <x:c r="D7" s="22" t="str">
        <x:v>8x Intel Gaudi2</x:v>
      </x:c>
      <x:c r="E7" s="22" t="str">
        <x:v>HBM2e</x:v>
      </x:c>
      <x:c r="F7" s="31" t="n">
        <x:v>768</x:v>
      </x:c>
      <x:c r="G7" s="28" t="n">
        <x:v>19600</x:v>
      </x:c>
      <x:c r="H7" s="22" t="str">
        <x:v>Each accelerator has 24x100GbE RoCE</x:v>
      </x:c>
      <x:c r="I7" s="22" t="str">
        <x:v>PCIe Gen4 host fabric</x:v>
      </x:c>
      <x:c r="J7" s="31"/>
      <x:c r="K7" s="25" t="n">
        <x:v>12500</x:v>
      </x:c>
      <x:c r="L7" s="22" t="str">
        <x:v>Current used complete-server listing</x:v>
      </x:c>
      <x:c r="M7" s="22" t="str">
        <x:v>Used; advertised lot of 180</x:v>
      </x:c>
      <x:c r="N7" s="34" t="d">
        <x:v>2026-10-18T00:00:00.000Z</x:v>
      </x:c>
      <x:c r="O7" s="31" t="n">
        <x:f>IF(OR(F7="",F7=0),"",ROUNDUP(1024/F7,0))</x:f>
        <x:v>2</x:v>
      </x:c>
      <x:c r="P7" s="25" t="n">
        <x:f>IF(OR(K7="",K7=0,O7=""),"",K7*O7)</x:f>
        <x:v>25000</x:v>
      </x:c>
      <x:c r="Q7" s="37" t="str">
        <x:v>https://www.reddit.com/r/homelabsales/comments/1wzwsbk/fs_usamn_supermicro_sys820ghtnr2_gpu_server_w_8x/</x:v>
      </x:c>
      <x:c r="R7" s="22" t="str">
        <x:v>Aggregate memory is distributed across eight accelerators. Price should be verified with seller and includes the host server.</x:v>
      </x:c>
    </x:row>
    <x:row r="8" ht="15" hidden="0" customHeight="1">
      <x:c r="A8" s="21" t="str">
        <x:v>NVIDIA</x:v>
      </x:c>
      <x:c r="B8" s="21" t="str">
        <x:v>DGX Station GB300</x:v>
      </x:c>
      <x:c r="C8" s="21" t="str">
        <x:v>Desktop AI workstation</x:v>
      </x:c>
      <x:c r="D8" s="21" t="str">
        <x:v>Grace CPU + Blackwell Ultra GPU</x:v>
      </x:c>
      <x:c r="E8" s="21" t="str">
        <x:v>496 GB LPDDR5X + 252 GB HBM3e</x:v>
      </x:c>
      <x:c r="F8" s="32" t="n">
        <x:v>748</x:v>
      </x:c>
      <x:c r="G8" s="29" t="n">
        <x:v>7100</x:v>
      </x:c>
      <x:c r="H8" s="21" t="str">
        <x:v>900 GB/s NVLink-C2C; enterprise networking</x:v>
      </x:c>
      <x:c r="I8" s="21" t="str">
        <x:v>System-specific</x:v>
      </x:c>
      <x:c r="J8" s="32" t="n">
        <x:v>1600</x:v>
      </x:c>
      <x:c r="K8" s="26" t="n">
        <x:v>94930</x:v>
      </x:c>
      <x:c r="L8" s="21" t="str">
        <x:v>Observed retail workstation listing</x:v>
      </x:c>
      <x:c r="M8" s="21" t="str">
        <x:v>Available to order</x:v>
      </x:c>
      <x:c r="N8" s="35" t="d">
        <x:v>2026-10-18T00:00:00.000Z</x:v>
      </x:c>
      <x:c r="O8" s="31" t="n">
        <x:f>IF(OR(F8="",F8=0),"",ROUNDUP(1024/F8,0))</x:f>
        <x:v>2</x:v>
      </x:c>
      <x:c r="P8" s="25" t="n">
        <x:f>IF(OR(K8="",K8=0,O8=""),"",K8*O8)</x:f>
        <x:v>189860</x:v>
      </x:c>
      <x:c r="Q8" s="38" t="str">
        <x:v>https://www.tomshardware.com/desktops/nvidias-gb300-powered-dgx-station-desktop-tower-listed-for-nearly-usd100-000-online-enterprise-ai-powerhouse-now-available-to-buy-for-mere-mortals-with-lots-of-cash</x:v>
      </x:c>
      <x:c r="R8" s="21" t="str">
        <x:v>Bandwidth shown is GPU HBM bandwidth. CPU LPDDR5X is about 396 GB/s; memory is coherent but physically split.</x:v>
      </x:c>
    </x:row>
    <x:row r="9" ht="15" hidden="0" customHeight="1">
      <x:c r="A9" s="23" t="str">
        <x:v>Apple</x:v>
      </x:c>
      <x:c r="B9" s="23" t="str">
        <x:v>Mac Studio M3 Ultra 512GB</x:v>
      </x:c>
      <x:c r="C9" s="23" t="str">
        <x:v>Desktop workstation</x:v>
      </x:c>
      <x:c r="D9" s="23" t="str">
        <x:v>M3 Ultra</x:v>
      </x:c>
      <x:c r="E9" s="23" t="str">
        <x:v>Unified LPDDR5</x:v>
      </x:c>
      <x:c r="F9" s="33" t="n">
        <x:v>512</x:v>
      </x:c>
      <x:c r="G9" s="30" t="n">
        <x:v>819</x:v>
      </x:c>
      <x:c r="H9" s="23" t="str">
        <x:v>Thunderbolt 5 up to 120Gb/s; 10GbE</x:v>
      </x:c>
      <x:c r="I9" s="23" t="str">
        <x:v>No PCIe slots</x:v>
      </x:c>
      <x:c r="J9" s="33"/>
      <x:c r="K9" s="27" t="n">
        <x:v>10499</x:v>
      </x:c>
      <x:c r="L9" s="23" t="str">
        <x:v>Historical configured retail</x:v>
      </x:c>
      <x:c r="M9" s="23" t="str">
        <x:v>512 GB configuration scarce; used/refurbished</x:v>
      </x:c>
      <x:c r="N9" s="36" t="d">
        <x:v>2026-10-18T00:00:00.000Z</x:v>
      </x:c>
      <x:c r="O9" s="31" t="n">
        <x:f>IF(OR(F9="",F9=0),"",ROUNDUP(1024/F9,0))</x:f>
        <x:v>2</x:v>
      </x:c>
      <x:c r="P9" s="25" t="n">
        <x:f>IF(OR(K9="",K9=0,O9=""),"",K9*O9)</x:f>
        <x:v>20998</x:v>
      </x:c>
      <x:c r="Q9" s="39" t="str">
        <x:v>https://www.apple.com/newsroom/2025/03/apple-reveals-m3-ultra-taking-apple-silicon-to-a-new-extreme/</x:v>
      </x:c>
      <x:c r="R9" s="23" t="str">
        <x:v>Excellent single-node capacity and bandwidth. Cluster links are much slower than local memory.</x:v>
      </x:c>
    </x:row>
    <x:row r="10" ht="15" hidden="0" customHeight="1">
      <x:c r="A10" s="21" t="str">
        <x:v>NVIDIA</x:v>
      </x:c>
      <x:c r="B10" s="21" t="str">
        <x:v>DGX Spark</x:v>
      </x:c>
      <x:c r="C10" s="21" t="str">
        <x:v>Desktop AI system</x:v>
      </x:c>
      <x:c r="D10" s="21" t="str">
        <x:v>GB10 Grace Blackwell</x:v>
      </x:c>
      <x:c r="E10" s="21" t="str">
        <x:v>Unified LPDDR5X</x:v>
      </x:c>
      <x:c r="F10" s="32" t="n">
        <x:v>128</x:v>
      </x:c>
      <x:c r="G10" s="29" t="n">
        <x:v>273</x:v>
      </x:c>
      <x:c r="H10" s="21" t="str">
        <x:v>2x QSFP 200GbE ConnectX-7; 10GbE</x:v>
      </x:c>
      <x:c r="I10" s="21" t="str">
        <x:v>M.2 storage; USB</x:v>
      </x:c>
      <x:c r="J10" s="32" t="n">
        <x:v>240</x:v>
      </x:c>
      <x:c r="K10" s="26" t="n">
        <x:v>4699</x:v>
      </x:c>
      <x:c r="L10" s="21" t="str">
        <x:v>Current official price</x:v>
      </x:c>
      <x:c r="M10" s="21" t="str">
        <x:v>Retail</x:v>
      </x:c>
      <x:c r="N10" s="35" t="d">
        <x:v>2026-10-18T00:00:00.000Z</x:v>
      </x:c>
      <x:c r="O10" s="31" t="n">
        <x:f>IF(OR(F10="",F10=0),"",ROUNDUP(1024/F10,0))</x:f>
        <x:v>8</x:v>
      </x:c>
      <x:c r="P10" s="25" t="n">
        <x:f>IF(OR(K10="",K10=0,O10=""),"",K10*O10)</x:f>
        <x:v>37592</x:v>
      </x:c>
      <x:c r="Q10" s="38" t="str">
        <x:v>https://docs.nvidia.com/dgx/dgx-spark/hardware.html</x:v>
      </x:c>
      <x:c r="R10" s="21" t="str">
        <x:v>Two-node direct clustering is supported. Link bandwidth remains below local-memory bandwidth.</x:v>
      </x:c>
    </x:row>
    <x:row r="11" ht="15" hidden="0" customHeight="1">
      <x:c r="A11" s="23" t="str">
        <x:v>Radxa</x:v>
      </x:c>
      <x:c r="B11" s="23" t="str">
        <x:v>Orion O6 64GB</x:v>
      </x:c>
      <x:c r="C11" s="23" t="str">
        <x:v>Mini-ITX Arm board</x:v>
      </x:c>
      <x:c r="D11" s="23" t="str">
        <x:v>CIX P1</x:v>
      </x:c>
      <x:c r="E11" s="23" t="str">
        <x:v>LPDDR5</x:v>
      </x:c>
      <x:c r="F11" s="33" t="n">
        <x:v>64</x:v>
      </x:c>
      <x:c r="G11" s="30" t="n">
        <x:v>100</x:v>
      </x:c>
      <x:c r="H11" s="23" t="str">
        <x:v>Dual 5GbE</x:v>
      </x:c>
      <x:c r="I11" s="23" t="str">
        <x:v>PCIe 4.0 x8 physical x16 slot</x:v>
      </x:c>
      <x:c r="J11" s="33"/>
      <x:c r="K11" s="27" t="n">
        <x:v>539</x:v>
      </x:c>
      <x:c r="L11" s="23" t="str">
        <x:v>Official retail price</x:v>
      </x:c>
      <x:c r="M11" s="23" t="str">
        <x:v>Partner stock is inconsistent</x:v>
      </x:c>
      <x:c r="N11" s="36" t="d">
        <x:v>2026-10-18T00:00:00.000Z</x:v>
      </x:c>
      <x:c r="O11" s="31" t="n">
        <x:f>IF(OR(F11="",F11=0),"",ROUNDUP(1024/F11,0))</x:f>
        <x:v>16</x:v>
      </x:c>
      <x:c r="P11" s="25" t="n">
        <x:f>IF(OR(K11="",K11=0,O11=""),"",K11*O11)</x:f>
        <x:v>8624</x:v>
      </x:c>
      <x:c r="Q11" s="39" t="str">
        <x:v>https://radxa.com/products/orion/o6/</x:v>
      </x:c>
      <x:c r="R11" s="23" t="str">
        <x:v>A practical CIX P1 prototype board, but not a removable SoM.</x:v>
      </x:c>
    </x:row>
    <x:row r="12" ht="15" hidden="0" customHeight="1">
      <x:c r="A12" s="21" t="str">
        <x:v>Fujitsu</x:v>
      </x:c>
      <x:c r="B12" s="21" t="str">
        <x:v>PRIMEHPC FX700 two-node chassis</x:v>
      </x:c>
      <x:c r="C12" s="21" t="str">
        <x:v>2U HPC server</x:v>
      </x:c>
      <x:c r="D12" s="21" t="str">
        <x:v>2x A64FX nodes</x:v>
      </x:c>
      <x:c r="E12" s="21" t="str">
        <x:v>HBM2</x:v>
      </x:c>
      <x:c r="F12" s="32" t="n">
        <x:v>64</x:v>
      </x:c>
      <x:c r="G12" s="29" t="n">
        <x:v>2048</x:v>
      </x:c>
      <x:c r="H12" s="21" t="str">
        <x:v>InfiniBand EDR or HDR100</x:v>
      </x:c>
      <x:c r="I12" s="21" t="str">
        <x:v>One PCIe Gen3 x16 slot per node</x:v>
      </x:c>
      <x:c r="J12" s="32" t="n">
        <x:v>2800</x:v>
      </x:c>
      <x:c r="K12" s="26" t="n">
        <x:v>38000</x:v>
      </x:c>
      <x:c r="L12" s="21" t="str">
        <x:v>Historical approximate price</x:v>
      </x:c>
      <x:c r="M12" s="21" t="str">
        <x:v>Discontinued; rare used</x:v>
      </x:c>
      <x:c r="N12" s="35" t="d">
        <x:v>2026-10-18T00:00:00.000Z</x:v>
      </x:c>
      <x:c r="O12" s="31" t="n">
        <x:f>IF(OR(F12="",F12=0),"",ROUNDUP(1024/F12,0))</x:f>
        <x:v>16</x:v>
      </x:c>
      <x:c r="P12" s="25" t="n">
        <x:f>IF(OR(K12="",K12=0,O12=""),"",K12*O12)</x:f>
        <x:v>608000</x:v>
      </x:c>
      <x:c r="Q12" s="38" t="str">
        <x:v>https://www.fujitsu.com/downloads/SUPER/primehpc-fx700-datasheet-en.pdf</x:v>
      </x:c>
      <x:c r="R12" s="21" t="str">
        <x:v>Each node has 32 GiB and 1,024 GB/s. Price is historical and approximate.</x:v>
      </x:c>
    </x:row>
    <x:row r="13" ht="15" hidden="0" customHeight="1">
      <x:c r="A13" s="23" t="str">
        <x:v>Fujitsu</x:v>
      </x:c>
      <x:c r="B13" s="23" t="str">
        <x:v>PRIMEHPC FX1000 rack</x:v>
      </x:c>
      <x:c r="C13" s="23" t="str">
        <x:v>Dedicated HPC rack</x:v>
      </x:c>
      <x:c r="D13" s="23" t="str">
        <x:v>384x A64FX nodes</x:v>
      </x:c>
      <x:c r="E13" s="23" t="str">
        <x:v>HBM2</x:v>
      </x:c>
      <x:c r="F13" s="33" t="n">
        <x:v>12288</x:v>
      </x:c>
      <x:c r="G13" s="30" t="n">
        <x:v>393000</x:v>
      </x:c>
      <x:c r="H13" s="23" t="str">
        <x:v>Tofu Interconnect D 6D mesh/torus</x:v>
      </x:c>
      <x:c r="I13" s="23" t="str">
        <x:v>48 PCIe expansion slots per rack</x:v>
      </x:c>
      <x:c r="J13" s="33"/>
      <x:c r="K13" s="27"/>
      <x:c r="L13" s="23" t="str">
        <x:v>Quote only</x:v>
      </x:c>
      <x:c r="M13" s="23" t="str">
        <x:v>Enterprise procurement; used units extremely rare</x:v>
      </x:c>
      <x:c r="N13" s="36" t="d">
        <x:v>2026-10-18T00:00:00.000Z</x:v>
      </x:c>
      <x:c r="O13" s="31" t="n">
        <x:f>IF(OR(F13="",F13=0),"",ROUNDUP(1024/F13,0))</x:f>
        <x:v>1</x:v>
      </x:c>
      <x:c r="P13" s="25" t="str">
        <x:f>IF(OR(K13="",K13=0,O13=""),"",K13*O13)</x:f>
      </x:c>
      <x:c r="Q13" s="39" t="str">
        <x:v>https://www.fujitsu.com/downloads/SUPER/primehpc-fx1000-datasheet-en-202302.pdf</x:v>
      </x:c>
      <x:c r="R13" s="23" t="str">
        <x:v>Requires dedicated rack infrastructure and water cooling. Not a practical DIY cluster platform.</x:v>
      </x:c>
    </x:row>
    <x:row r="14" ht="100" customHeight="1">
      <x:c r="A14" s="102" t="str">
        <x:v>Foxconn / Ampere</x:v>
      </x:c>
      <x:c r="B14" s="102" t="str">
        <x:v>Mt. Collins 2U; dual Q80-30; 64GB</x:v>
      </x:c>
      <x:c r="C14" s="102" t="str">
        <x:v>Used dual-socket 2U server</x:v>
      </x:c>
      <x:c r="D14" s="102" t="str">
        <x:v>2x Altra Q80-30; 160 cores at 3.0 GHz</x:v>
      </x:c>
      <x:c r="E14" s="102" t="str">
        <x:v>DDR4 ECC; 4x16GB DDR4-3200</x:v>
      </x:c>
      <x:c r="F14" s="103" t="n">
        <x:v>64</x:v>
      </x:c>
      <x:c r="G14" s="104"/>
      <x:c r="H14" s="102" t="str">
        <x:v>4x25GbE SFP28 + 2x1GbE</x:v>
      </x:c>
      <x:c r="I14" s="102" t="str">
        <x:v>PCIe Gen4; 24x U.2 NVMe bays</x:v>
      </x:c>
      <x:c r="J14" s="103"/>
      <x:c r="K14" s="105" t="n">
        <x:v>2200</x:v>
      </x:c>
      <x:c r="L14" s="102" t="str">
        <x:v>Used private asking price; OBO</x:v>
      </x:c>
      <x:c r="M14" s="102" t="str">
        <x:v>Seller repost; prior post says sold; verify</x:v>
      </x:c>
      <x:c r="N14" s="110" t="d">
        <x:v>2026-10-18T00:00:00.000Z</x:v>
      </x:c>
      <x:c r="O14" s="107" t="n">
        <x:f>IF(OR(F14="",F14=0),"",ROUNDUP(1024/F14,0))</x:f>
        <x:v>16</x:v>
      </x:c>
      <x:c r="P14" s="108" t="n">
        <x:f>IF(OR(K14="",K14=0,O14=""),"",K14*O14)</x:f>
        <x:v>35200</x:v>
      </x:c>
      <x:c r="Q14" s="109" t="str">
        <x:v>Listing: https://www.reddit.com/r/homelabsales/comments/1wvbjd8/fsusnj_ampere_altra_foxconn_mt_collins_with_2/
Platform: https://www.asacomputers.com/2u-24-bay-ampere-altra-arm-server.html?mode=spec</x:v>
      </x:c>
      <x:c r="R14" s="102" t="str">
        <x:v>64GB and 1TB NVMe included. Local pickup only, Monmouth County NJ. Current repost asks $2,200; earlier post 1wl6t5y from same seller marks this configuration sold, so stock is unconfirmed. Four DIMMs do not populate all 16 CPU memory channels; bandwidth left blank. Dual 2000W PSUs are ratings, not system draw. 1-TiB cost repeats the listed 64GB system and excludes upgrades.</x:v>
      </x:c>
    </x:row>
    <x:row r="15" ht="100" customHeight="1">
      <x:c r="A15" s="127" t="str">
        <x:v>GIGABYTE</x:v>
      </x:c>
      <x:c r="B15" s="127" t="str">
        <x:v>R272-P30-JG; Altra 80-core; 128GB</x:v>
      </x:c>
      <x:c r="C15" s="127" t="str">
        <x:v>Used single-socket 2U server</x:v>
      </x:c>
      <x:c r="D15" s="127" t="str">
        <x:v>1x Altra 80-core; 2.8 GHz listed; SKU unspecified</x:v>
      </x:c>
      <x:c r="E15" s="127" t="str">
        <x:v>DDR4 ECC; 128GB installed</x:v>
      </x:c>
      <x:c r="F15" s="128" t="n">
        <x:v>128</x:v>
      </x:c>
      <x:c r="G15" s="129"/>
      <x:c r="H15" s="127"/>
      <x:c r="I15" s="127" t="str">
        <x:v>NVMe storage; installed PCIe cards unspecified</x:v>
      </x:c>
      <x:c r="J15" s="128"/>
      <x:c r="K15" s="130" t="n">
        <x:v>3632</x:v>
      </x:c>
      <x:c r="L15" s="127" t="str">
        <x:v>Historical used eBay displayed sold price</x:v>
      </x:c>
      <x:c r="M15" s="127" t="str">
        <x:v>Sold 2026-07-14; historical reference</x:v>
      </x:c>
      <x:c r="N15" s="135" t="d">
        <x:v>2026-07-14T00:00:00.000Z</x:v>
      </x:c>
      <x:c r="O15" s="132" t="n">
        <x:f>IF(OR(F15="",F15=0),"",ROUNDUP(1024/F15,0))</x:f>
        <x:v>8</x:v>
      </x:c>
      <x:c r="P15" s="133" t="n">
        <x:f>IF(OR(K15="",K15=0,O15=""),"",K15*O15)</x:f>
        <x:v>29056</x:v>
      </x:c>
      <x:c r="Q15" s="134" t="str">
        <x:v>Listing / configuration: https://www.ebay.com/itm/206345938406</x:v>
      </x:c>
      <x:c r="R15" s="127" t="str">
        <x:v>Seller reports tested working. Includes 128GB Samsung DDR4 ECC, 2x7.68TB Micron 7300 PRO NVMe, and approximately 960GB Samsung M.2 NVMe. Exact CPU SKU, DIMM layout/speed, NIC and system draw unverified; bandwidth blank. Sold listing is a historical market reference. Price checked 2026-10-18; excludes tax. 1-TiB cost uses installed RAM, not 4TB platform capacity.</x:v>
      </x:c>
    </x:row>
    <x:row r="16" ht="100" customHeight="1">
      <x:c r="A16" s="102" t="str">
        <x:v>GIGABYTE</x:v>
      </x:c>
      <x:c r="B16" s="102" t="str">
        <x:v>R272-P30; M128-30; 256GB / 24SFF</x:v>
      </x:c>
      <x:c r="C16" s="102" t="str">
        <x:v>Used single-socket 2U server</x:v>
      </x:c>
      <x:c r="D16" s="102" t="str">
        <x:v>1x Altra Max M128-30; 128 cores at 3.0 GHz</x:v>
      </x:c>
      <x:c r="E16" s="102" t="str">
        <x:v>DDR4 ECC RDIMM; 16x16GB DDR4-2666</x:v>
      </x:c>
      <x:c r="F16" s="103" t="n">
        <x:v>256</x:v>
      </x:c>
      <x:c r="G16" s="104"/>
      <x:c r="H16" s="102"/>
      <x:c r="I16" s="102" t="str">
        <x:v>4x CNV3122 NVMe adapters; 2x CNV3124 controllers</x:v>
      </x:c>
      <x:c r="J16" s="103"/>
      <x:c r="K16" s="105" t="n">
        <x:v>4999</x:v>
      </x:c>
      <x:c r="L16" s="102" t="str">
        <x:v>Historical used eBay asking price; OBO</x:v>
      </x:c>
      <x:c r="M16" s="102" t="str">
        <x:v>Ended 2026-07-24; unavailable</x:v>
      </x:c>
      <x:c r="N16" s="110" t="d">
        <x:v>2026-07-24T00:00:00.000Z</x:v>
      </x:c>
      <x:c r="O16" s="107" t="n">
        <x:f>IF(OR(F16="",F16=0),"",ROUNDUP(1024/F16,0))</x:f>
        <x:v>4</x:v>
      </x:c>
      <x:c r="P16" s="108" t="n">
        <x:f>IF(OR(K16="",K16=0,O16=""),"",K16*O16)</x:f>
        <x:v>19996</x:v>
      </x:c>
      <x:c r="Q16" s="109" t="str">
        <x:v>Listing: https://www.ebay.com/itm/137275545029
Configuration: seller description linked from listing (M128-30, 16x16GB PC4-2666V, 960GB M.2)</x:v>
      </x:c>
      <x:c r="R16" s="102" t="str">
        <x:v>Includes Samsung PM983 960GB M.2, 24x2.5-inch NVMe chassis and 3x CEPM080 backplanes; no rails. $100 shipping extra. Listing ended; $4,999 is the advertised price, not a confirmed transaction. 1200W PSU rating is not system draw; CPU TDP is 250W. Actual memory operating speed unverified; bandwidth blank. 1-TiB cost repeats 256GB configuration and excludes shipping/tax.</x:v>
      </x:c>
    </x:row>
  </x:sheetData>
  <x:pageMargins left="0.7" right="0.7" top="0.75" bottom="0.75" header="0.3" footer="0.3"/>
  <x:tableParts count="1">
    <x:tablePart xmlns:r="http://schemas.openxmlformats.org/officeDocument/2006/relationships" r:id="R69e5e367f6bd42e8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9" hidden="0" customWidth="1"/>
    <x:col min="2" max="2" width="40" hidden="0" customWidth="1"/>
    <x:col min="3" max="3" width="12" hidden="0" customWidth="1"/>
    <x:col min="4" max="4" width="16" hidden="0" customWidth="1"/>
    <x:col min="5" max="5" width="22" hidden="0" customWidth="1"/>
    <x:col min="6" max="6" width="13" hidden="0" customWidth="1"/>
    <x:col min="7" max="7" width="12" hidden="0" customWidth="1"/>
    <x:col min="8" max="8" width="18" hidden="0" customWidth="1"/>
    <x:col min="9" max="9" width="18" hidden="0" customWidth="1"/>
    <x:col min="10" max="10" width="20" hidden="0" customWidth="1"/>
    <x:col min="11" max="11" width="25" hidden="0" customWidth="1"/>
    <x:col min="12" max="12" width="17" hidden="0" customWidth="1"/>
    <x:col min="13" max="13" width="35" hidden="0" customWidth="1"/>
    <x:col min="14" max="14" width="33" hidden="0" customWidth="1"/>
    <x:col min="15" max="15" width="17" hidden="0" customWidth="1"/>
    <x:col min="16" max="16" width="20" hidden="0" customWidth="1"/>
    <x:col min="17" max="17" width="25" hidden="0" customWidth="1"/>
    <x:col min="18" max="18" width="25" hidden="0" customWidth="1"/>
    <x:col min="19" max="19" width="90" hidden="0" customWidth="1"/>
    <x:col min="20" max="20" width="95" hidden="0" customWidth="1"/>
  </x:cols>
  <x:sheetData>
    <x:row r="1">
      <x:c r="A1" s="162"/>
      <x:c r="B1" s="162"/>
      <x:c r="C1" s="162"/>
      <x:c r="D1" s="162"/>
      <x:c r="E1" s="162"/>
      <x:c r="F1" s="162"/>
      <x:c r="G1" s="162"/>
      <x:c r="H1" s="162"/>
      <x:c r="I1" s="162"/>
      <x:c r="J1" s="162"/>
      <x:c r="K1" s="162"/>
      <x:c r="L1" s="162"/>
      <x:c r="M1" s="162"/>
      <x:c r="N1" s="162"/>
      <x:c r="O1" s="162"/>
      <x:c r="P1" s="162"/>
      <x:c r="Q1" s="162"/>
      <x:c r="R1" s="162"/>
      <x:c r="S1" s="162"/>
      <x:c r="T1" s="162"/>
    </x:row>
    <x:row r="2">
      <x:c r="A2" s="165" t="str">
        <x:v>SSD database</x:v>
      </x:c>
      <x:c r="B2" s="162"/>
      <x:c r="C2" s="162"/>
      <x:c r="D2" s="162"/>
      <x:c r="E2" s="162"/>
      <x:c r="F2" s="162"/>
      <x:c r="G2" s="162"/>
      <x:c r="H2" s="162"/>
      <x:c r="I2" s="162"/>
      <x:c r="J2" s="162"/>
      <x:c r="K2" s="162"/>
      <x:c r="L2" s="162"/>
      <x:c r="M2" s="162"/>
      <x:c r="N2" s="162"/>
      <x:c r="O2" s="162"/>
      <x:c r="P2" s="162"/>
      <x:c r="Q2" s="162"/>
      <x:c r="R2" s="162"/>
      <x:c r="S2" s="162"/>
      <x:c r="T2" s="162"/>
    </x:row>
    <x:row r="3">
      <x:c r="A3" s="166"/>
      <x:c r="B3" s="166"/>
      <x:c r="C3" s="166"/>
      <x:c r="D3" s="166"/>
      <x:c r="E3" s="166"/>
      <x:c r="F3" s="166"/>
      <x:c r="G3" s="166"/>
      <x:c r="H3" s="166"/>
      <x:c r="I3" s="166"/>
      <x:c r="J3" s="166"/>
      <x:c r="K3" s="166"/>
      <x:c r="L3" s="166"/>
      <x:c r="M3" s="166"/>
      <x:c r="N3" s="166"/>
      <x:c r="O3" s="166"/>
      <x:c r="P3" s="166"/>
      <x:c r="Q3" s="166"/>
      <x:c r="R3" s="166"/>
      <x:c r="S3" s="166"/>
      <x:c r="T3" s="166"/>
    </x:row>
    <x:row r="4" ht="22" customHeight="1">
      <x:c r="A4" s="167" t="str">
        <x:v>NVMe SSDs: new and used. Performance is manufacturer-rated, not a benchmark of the listed unit. Prices exclude tax, adapters and host systems.</x:v>
      </x:c>
      <x:c r="B4" s="167"/>
      <x:c r="C4" s="167"/>
      <x:c r="D4" s="167"/>
      <x:c r="E4" s="167"/>
      <x:c r="F4" s="167"/>
      <x:c r="G4" s="167"/>
      <x:c r="H4" s="167"/>
      <x:c r="I4" s="167"/>
      <x:c r="J4" s="167"/>
      <x:c r="K4" s="167"/>
      <x:c r="L4" s="167"/>
      <x:c r="M4" s="167"/>
      <x:c r="N4" s="167"/>
      <x:c r="O4" s="167"/>
      <x:c r="P4" s="167"/>
      <x:c r="Q4" s="167"/>
      <x:c r="R4" s="167"/>
      <x:c r="S4" s="167"/>
      <x:c r="T4" s="167"/>
    </x:row>
    <x:row r="5">
      <x:c r="A5" s="162"/>
      <x:c r="B5" s="162"/>
      <x:c r="C5" s="162"/>
      <x:c r="D5" s="162"/>
      <x:c r="E5" s="162"/>
      <x:c r="F5" s="162"/>
      <x:c r="G5" s="162"/>
      <x:c r="H5" s="162"/>
      <x:c r="I5" s="162"/>
      <x:c r="J5" s="162"/>
      <x:c r="K5" s="162"/>
      <x:c r="L5" s="162"/>
      <x:c r="M5" s="162"/>
      <x:c r="N5" s="162"/>
      <x:c r="O5" s="162"/>
      <x:c r="P5" s="162"/>
      <x:c r="Q5" s="162"/>
      <x:c r="R5" s="162"/>
      <x:c r="S5" s="162"/>
      <x:c r="T5" s="162"/>
    </x:row>
    <x:row r="6" ht="48" customHeight="1">
      <x:c r="A6" s="172" t="str">
        <x:v>Vendor</x:v>
      </x:c>
      <x:c r="B6" s="172" t="str">
        <x:v>Model / part number</x:v>
      </x:c>
      <x:c r="C6" s="172" t="str">
        <x:v>Condition</x:v>
      </x:c>
      <x:c r="D6" s="172" t="str">
        <x:v>Capacity (TB; decimal)</x:v>
      </x:c>
      <x:c r="E6" s="172" t="str">
        <x:v>Form factor</x:v>
      </x:c>
      <x:c r="F6" s="172" t="str">
        <x:v>PCIe generation</x:v>
      </x:c>
      <x:c r="G6" s="172" t="str">
        <x:v>PCIe lanes</x:v>
      </x:c>
      <x:c r="H6" s="172" t="str">
        <x:v>Seq. read up to (MB/s)</x:v>
      </x:c>
      <x:c r="I6" s="172" t="str">
        <x:v>Seq. write up to (MB/s)</x:v>
      </x:c>
      <x:c r="J6" s="172" t="str">
        <x:v>Rated endurance (TBW)</x:v>
      </x:c>
      <x:c r="K6" s="172" t="str">
        <x:v>Power-loss protection</x:v>
      </x:c>
      <x:c r="L6" s="172" t="str">
        <x:v>Price (USD)</x:v>
      </x:c>
      <x:c r="M6" s="172" t="str">
        <x:v>Price basis / seller</x:v>
      </x:c>
      <x:c r="N6" s="172" t="str">
        <x:v>Availability</x:v>
      </x:c>
      <x:c r="O6" s="172" t="str">
        <x:v>Price date</x:v>
      </x:c>
      <x:c r="P6" s="172" t="str">
        <x:v>Price / TB (USD)</x:v>
      </x:c>
      <x:c r="Q6" s="172" t="str">
        <x:v>4x RAID0 read (GB/s; ideal)</x:v>
      </x:c>
      <x:c r="R6" s="172" t="str">
        <x:v>4x RAID0 write (GB/s; ideal)</x:v>
      </x:c>
      <x:c r="S6" s="172" t="str">
        <x:v>Sources</x:v>
      </x:c>
      <x:c r="T6" s="172" t="str">
        <x:v>Notes</x:v>
      </x:c>
    </x:row>
    <x:row r="7" ht="72" customHeight="1">
      <x:c r="A7" s="175" t="str">
        <x:v>Samsung</x:v>
      </x:c>
      <x:c r="B7" s="175" t="str">
        <x:v>9100 PRO 4TB; MZ-VAP4T0B/AM</x:v>
      </x:c>
      <x:c r="C7" s="175" t="str">
        <x:v>New</x:v>
      </x:c>
      <x:c r="D7" s="191" t="n">
        <x:v>4</x:v>
      </x:c>
      <x:c r="E7" s="192" t="str">
        <x:v>M.2 2280</x:v>
      </x:c>
      <x:c r="F7" s="193" t="n">
        <x:v>5</x:v>
      </x:c>
      <x:c r="G7" s="193" t="n">
        <x:v>4</x:v>
      </x:c>
      <x:c r="H7" s="193" t="n">
        <x:v>14800</x:v>
      </x:c>
      <x:c r="I7" s="193" t="n">
        <x:v>13400</x:v>
      </x:c>
      <x:c r="J7" s="193" t="n">
        <x:v>2400</x:v>
      </x:c>
      <x:c r="K7" s="175" t="str">
        <x:v>Enterprise PLP not specified</x:v>
      </x:c>
      <x:c r="L7" s="197" t="n">
        <x:v>1049.95</x:v>
      </x:c>
      <x:c r="M7" s="175" t="str">
        <x:v>Newegg marketplace / BioStar; asking</x:v>
      </x:c>
      <x:c r="N7" s="175" t="str">
        <x:v>Listed; add to cart</x:v>
      </x:c>
      <x:c r="O7" s="189" t="d">
        <x:v>2026-10-18T00:00:00.000Z</x:v>
      </x:c>
      <x:c r="P7" s="197" t="n">
        <x:f>L7/D7</x:f>
        <x:v>262.4875</x:v>
      </x:c>
      <x:c r="Q7" s="199" t="n">
        <x:f>4*H7/1000</x:f>
        <x:v>59.2</x:v>
      </x:c>
      <x:c r="R7" s="199" t="n">
        <x:f>4*I7/1000</x:f>
        <x:v>53.6</x:v>
      </x:c>
      <x:c r="S7" s="201" t="str">
        <x:v>Specs: https://download.semiconductor.samsung.com/resources/data-sheet/Samsung_NVMe_SSD_9100_PRO_Datasheet_Rev.2.0.pdf
Price: https://www.newegg.com/samsung-4tb-9100-pro-nvme-2-0/p/N82E16820147904</x:v>
      </x:c>
      <x:c r="T7" s="175" t="str">
        <x:v>TLC consumer Gen5 drive, without heatsink. Vendor peak figures can use write cache; sustained writes after cache depletion can be much lower. Endurance is total rated writes, not remaining life. Active cooling/heatsink needed for long RAID workloads. Marketplace price is not MSRP.</x:v>
      </x:c>
    </x:row>
    <x:row r="8" ht="72" customHeight="1">
      <x:c r="A8" s="178" t="str">
        <x:v>Sandisk / WD_BLACK</x:v>
      </x:c>
      <x:c r="B8" s="178" t="str">
        <x:v>SN8100 4TB; WDS400T1X0M-00CMT0</x:v>
      </x:c>
      <x:c r="C8" s="178" t="str">
        <x:v>New</x:v>
      </x:c>
      <x:c r="D8" s="194" t="n">
        <x:v>4</x:v>
      </x:c>
      <x:c r="E8" s="195" t="str">
        <x:v>M.2 2280</x:v>
      </x:c>
      <x:c r="F8" s="196" t="n">
        <x:v>5</x:v>
      </x:c>
      <x:c r="G8" s="196" t="n">
        <x:v>4</x:v>
      </x:c>
      <x:c r="H8" s="196" t="n">
        <x:v>14900</x:v>
      </x:c>
      <x:c r="I8" s="196" t="n">
        <x:v>14000</x:v>
      </x:c>
      <x:c r="J8" s="196" t="n">
        <x:v>2400</x:v>
      </x:c>
      <x:c r="K8" s="178" t="str">
        <x:v>Enterprise PLP not specified</x:v>
      </x:c>
      <x:c r="L8" s="198" t="n">
        <x:v>839</x:v>
      </x:c>
      <x:c r="M8" s="178" t="str">
        <x:v>Newegg marketplace / ShengYuan Parts Hub</x:v>
      </x:c>
      <x:c r="N8" s="178" t="str">
        <x:v>Listed; ships from Hong Kong</x:v>
      </x:c>
      <x:c r="O8" s="190" t="d">
        <x:v>2026-10-18T00:00:00.000Z</x:v>
      </x:c>
      <x:c r="P8" s="198" t="n">
        <x:f>L8/D8</x:f>
        <x:v>209.75</x:v>
      </x:c>
      <x:c r="Q8" s="200" t="n">
        <x:f>4*H8/1000</x:f>
        <x:v>59.6</x:v>
      </x:c>
      <x:c r="R8" s="200" t="n">
        <x:f>4*I8/1000</x:f>
        <x:v>56</x:v>
      </x:c>
      <x:c r="S8" s="202" t="str">
        <x:v>Specs: https://www.sandisk.com/en-ie/products/ssd/internal-ssd/wd-black-sn8100-ssd?sku=WDS400T1X0M-00CMT0
Price: https://www.newegg.com/western-digital-4tb-nvme/p/N82E16820250280</x:v>
      </x:c>
      <x:c r="T8" s="178" t="str">
        <x:v>TLC consumer Gen5 drive, without heatsink. Use manufacturer 4TB write rating (14,000 MB/s); retailer title says 11,000 MB/s. Consumer cache-assisted peaks are not sustained RAID performance. Verify exact SKU and seller warranty.</x:v>
      </x:c>
    </x:row>
    <x:row r="9" ht="72" customHeight="1">
      <x:c r="A9" s="175" t="str">
        <x:v>Micron</x:v>
      </x:c>
      <x:c r="B9" s="175" t="str">
        <x:v>9550 PRO 7.68TB; MTFDLAL7T6THA-1BK1JABYY</x:v>
      </x:c>
      <x:c r="C9" s="175" t="str">
        <x:v>New</x:v>
      </x:c>
      <x:c r="D9" s="191" t="n">
        <x:v>7.68</x:v>
      </x:c>
      <x:c r="E9" s="192" t="str">
        <x:v>U.2 2.5-inch 15mm</x:v>
      </x:c>
      <x:c r="F9" s="193" t="n">
        <x:v>5</x:v>
      </x:c>
      <x:c r="G9" s="193" t="n">
        <x:v>4</x:v>
      </x:c>
      <x:c r="H9" s="193" t="n">
        <x:v>14000</x:v>
      </x:c>
      <x:c r="I9" s="193" t="n">
        <x:v>10000</x:v>
      </x:c>
      <x:c r="J9" s="193" t="n">
        <x:v>14016</x:v>
      </x:c>
      <x:c r="K9" s="175" t="str">
        <x:v>Yes; enterprise</x:v>
      </x:c>
      <x:c r="L9" s="197" t="n">
        <x:v>8500</x:v>
      </x:c>
      <x:c r="M9" s="175" t="str">
        <x:v>ServerSupply listed price; before checkout offers</x:v>
      </x:c>
      <x:c r="N9" s="175" t="str">
        <x:v>Listed in stock</x:v>
      </x:c>
      <x:c r="O9" s="189" t="d">
        <x:v>2026-10-18T00:00:00.000Z</x:v>
      </x:c>
      <x:c r="P9" s="197" t="n">
        <x:f>L9/D9</x:f>
        <x:v>1106.7708333333335</x:v>
      </x:c>
      <x:c r="Q9" s="199" t="n">
        <x:f>4*H9/1000</x:f>
        <x:v>56</x:v>
      </x:c>
      <x:c r="R9" s="199" t="n">
        <x:f>4*I9/1000</x:f>
        <x:v>40</x:v>
      </x:c>
      <x:c r="S9" s="201" t="str">
        <x:v>Specs: https://tw.micron.com/content/dam/micron/global/public/products/product-flyer/9550-nvme-ssd-product-brief.pdf
Price: https://www.serversupply.com/SSD/NVMe/7.68TB/MICRON/MTFDLAL7T6THA-1BK1JABYY_397182.htm</x:v>
      </x:c>
      <x:c r="T9" s="175" t="str">
        <x:v>Enterprise TLC; 1 DWPD / 5 years; 14,016 TBW is 4K random endurance (sequential rating differs). Spec table is capacity-specific. Seller lists 90-day warranty and no manufacturer warranty. Price is one reseller observation, not a typical-market estimate. Requires a PCIe Gen5 NVMe U.2 path and airflow.</x:v>
      </x:c>
    </x:row>
    <x:row r="10" ht="72" customHeight="1">
      <x:c r="A10" s="178" t="str">
        <x:v>Intel</x:v>
      </x:c>
      <x:c r="B10" s="178" t="str">
        <x:v>Optane P5800X 1.6TB; SSDPF21Q016TB</x:v>
      </x:c>
      <x:c r="C10" s="178" t="str">
        <x:v>Used</x:v>
      </x:c>
      <x:c r="D10" s="194" t="n">
        <x:v>1.6</x:v>
      </x:c>
      <x:c r="E10" s="195" t="str">
        <x:v>U.2 2.5-inch 15mm</x:v>
      </x:c>
      <x:c r="F10" s="196" t="n">
        <x:v>4</x:v>
      </x:c>
      <x:c r="G10" s="196" t="n">
        <x:v>4</x:v>
      </x:c>
      <x:c r="H10" s="196" t="n">
        <x:v>7200</x:v>
      </x:c>
      <x:c r="I10" s="196" t="n">
        <x:v>6200</x:v>
      </x:c>
      <x:c r="J10" s="196" t="n">
        <x:f>D10*100*365*5</x:f>
        <x:v>292000</x:v>
      </x:c>
      <x:c r="K10" s="178" t="str">
        <x:v>Yes; enhanced PLP</x:v>
      </x:c>
      <x:c r="L10" s="198" t="n">
        <x:v>865</x:v>
      </x:c>
      <x:c r="M10" s="178" t="str">
        <x:v>eBay / Long2207; asking; OBO</x:v>
      </x:c>
      <x:c r="N10" s="178" t="str">
        <x:v>Listed 4 available; seller claim</x:v>
      </x:c>
      <x:c r="O10" s="190" t="d">
        <x:v>2026-10-18T00:00:00.000Z</x:v>
      </x:c>
      <x:c r="P10" s="198" t="n">
        <x:f>L10/D10</x:f>
        <x:v>540.625</x:v>
      </x:c>
      <x:c r="Q10" s="200" t="n">
        <x:f>4*H10/1000</x:f>
        <x:v>28.8</x:v>
      </x:c>
      <x:c r="R10" s="200" t="n">
        <x:f>4*I10/1000</x:f>
        <x:v>24.8</x:v>
      </x:c>
      <x:c r="S10" s="202" t="str">
        <x:v>Specs: https://www.intel.com/content/www/us/en/products/sku/201859/intel-optane-ssd-dc-p5800x-series-1-6tb-2-5in-pcie-x4-3d-xpoint/specifications.html
Price: https://www.ebay.com/itm/800645585741</x:v>
      </x:c>
      <x:c r="T10" s="178" t="str">
        <x:v>3D XPoint; high random-I/O/endurance option, not NAND TLC. Intel rates 1.5M random read/write IOPS and 100 DWPD over 5 years; TBW calculated from that rating. Seller claims 97–98% health; not independently verified. Obtain SMART/media-error/firmware data for the specific unit. Discontinued; warranty must be checked with seller.</x:v>
      </x:c>
    </x:row>
    <x:row r="11" ht="72" customHeight="1">
      <x:c r="A11" s="175" t="str">
        <x:v>Samsung</x:v>
      </x:c>
      <x:c r="B11" s="175" t="str">
        <x:v>PM1733 7.68TB; MZWLJ7T6HALA-0007C</x:v>
      </x:c>
      <x:c r="C11" s="175" t="str">
        <x:v>Used</x:v>
      </x:c>
      <x:c r="D11" s="191" t="n">
        <x:v>7.68</x:v>
      </x:c>
      <x:c r="E11" s="192" t="str">
        <x:v>U.2 2.5-inch 15mm</x:v>
      </x:c>
      <x:c r="F11" s="193" t="n">
        <x:v>4</x:v>
      </x:c>
      <x:c r="G11" s="193" t="n">
        <x:v>4</x:v>
      </x:c>
      <x:c r="H11" s="193" t="n">
        <x:v>7000</x:v>
      </x:c>
      <x:c r="I11" s="193" t="n">
        <x:v>3500</x:v>
      </x:c>
      <x:c r="J11" s="193" t="n">
        <x:f>D11*365*5</x:f>
        <x:v>14016</x:v>
      </x:c>
      <x:c r="K11" s="175" t="str">
        <x:v>Yes; enterprise</x:v>
      </x:c>
      <x:c r="L11" s="197" t="n">
        <x:v>623.28</x:v>
      </x:c>
      <x:c r="M11" s="175" t="str">
        <x:v>Historical eBay displayed sold price / tugm4470</x:v>
      </x:c>
      <x:c r="N11" s="175" t="str">
        <x:v>Sold 2026-06-30; out of stock</x:v>
      </x:c>
      <x:c r="O11" s="189" t="d">
        <x:v>2026-06-30T00:00:00.000Z</x:v>
      </x:c>
      <x:c r="P11" s="197" t="n">
        <x:f>L11/D11</x:f>
        <x:v>81.15625</x:v>
      </x:c>
      <x:c r="Q11" s="199" t="n">
        <x:f>4*H11/1000</x:f>
        <x:v>28</x:v>
      </x:c>
      <x:c r="R11" s="199" t="n">
        <x:f>4*I11/1000</x:f>
        <x:v>14</x:v>
      </x:c>
      <x:c r="S11" s="201" t="str">
        <x:v>Specs: https://download.semiconductor.samsung.com/resources/brochure/PM1733%20NVMe%20SSD.pdf
OEM capacity specs: https://lenovopress.lenovo.com/lp1300-thinksystem-pm1733-entry-nvme-ssd
Price: https://www.ebay.com/itm/176400987818</x:v>
      </x:c>
      <x:c r="T11" s="175" t="str">
        <x:v>Historical used reference, checked 2026-10-18; not a current offer. Seller claimed 97% health. Conservative published PM1733 read/write ratings; OEM -0007C firmware can differ from reference/OEM-guide drives. Rated endurance calculated at 1 DWPD / 5 years, not remaining writes. Verify sector format, firmware and full x4 port operation.</x:v>
      </x:c>
    </x:row>
    <x:row r="12" ht="72" customHeight="1">
      <x:c r="A12" s="178" t="str">
        <x:v>Intel / Dell EMC</x:v>
      </x:c>
      <x:c r="B12" s="178" t="str">
        <x:v>DC P4610 6.4TB; SSDPE2KE064T8T / 92F30</x:v>
      </x:c>
      <x:c r="C12" s="178" t="str">
        <x:v>Used</x:v>
      </x:c>
      <x:c r="D12" s="194" t="n">
        <x:v>6.4</x:v>
      </x:c>
      <x:c r="E12" s="195" t="str">
        <x:v>U.2 2.5-inch 15mm</x:v>
      </x:c>
      <x:c r="F12" s="196" t="n">
        <x:v>3</x:v>
      </x:c>
      <x:c r="G12" s="196" t="n">
        <x:v>4</x:v>
      </x:c>
      <x:c r="H12" s="196" t="n">
        <x:v>3200</x:v>
      </x:c>
      <x:c r="I12" s="196" t="n">
        <x:v>3200</x:v>
      </x:c>
      <x:c r="J12" s="196" t="n">
        <x:v>36540</x:v>
      </x:c>
      <x:c r="K12" s="178" t="str">
        <x:v>Yes; enhanced PLP</x:v>
      </x:c>
      <x:c r="L12" s="198" t="n">
        <x:v>379.99</x:v>
      </x:c>
      <x:c r="M12" s="178" t="str">
        <x:v>PC Server &amp; Parts listed used price</x:v>
      </x:c>
      <x:c r="N12" s="178" t="str">
        <x:v>Out of stock</x:v>
      </x:c>
      <x:c r="O12" s="190" t="d">
        <x:v>2026-10-18T00:00:00.000Z</x:v>
      </x:c>
      <x:c r="P12" s="198" t="n">
        <x:f>L12/D12</x:f>
        <x:v>59.3734375</x:v>
      </x:c>
      <x:c r="Q12" s="200" t="n">
        <x:f>4*H12/1000</x:f>
        <x:v>12.8</x:v>
      </x:c>
      <x:c r="R12" s="200" t="n">
        <x:f>4*I12/1000</x:f>
        <x:v>12.8</x:v>
      </x:c>
      <x:c r="S12" s="202" t="str">
        <x:v>Specs: https://lenovopress.lenovo.com/lp1032-intel-p4610-mainstream-nvme-pcie-ssds
Price: https://pcserverandparts.com/dell-emc-dc-p4610-6-4tb-nvme-2-5-used-u-2-ssd-ssdpe2ke064t8t-92f30/</x:v>
      </x:c>
      <x:c r="T12" s="178" t="str">
        <x:v>Older enterprise TLC option: high write endurance, slower Gen3 sequential speeds. 36,540 TBW and performance are published 6.4TB family/OEM-guide ratings; Dell firmware may vary. Seller lists tested/inspected, 90-day warranty; remaining endurance not stated. Price unavailable for immediate purchase; stock must return.</x:v>
      </x:c>
    </x:row>
    <x:row r="14">
      <x:c r="A14" s="161" t="str">
        <x:v>Reading the comparison</x:v>
      </x:c>
    </x:row>
    <x:row r="15" ht="26" customHeight="1">
      <x:c r="A15" s="205" t="str">
        <x:v>Units: capacity is decimal TB (1 TB = 10^12 bytes); MB/s and GB/s are decimal. SSD capacity is storage, not CPU RAM. TBW is total original rated endurance, not remaining life or a transferable warranty.</x:v>
      </x:c>
      <x:c r="B15" s="205"/>
      <x:c r="C15" s="205"/>
      <x:c r="D15" s="205"/>
      <x:c r="E15" s="205"/>
      <x:c r="F15" s="205"/>
      <x:c r="G15" s="205"/>
      <x:c r="H15" s="205"/>
      <x:c r="I15" s="205"/>
      <x:c r="J15" s="205"/>
      <x:c r="K15" s="205"/>
      <x:c r="L15" s="205"/>
      <x:c r="M15" s="205"/>
      <x:c r="N15" s="205"/>
      <x:c r="O15" s="205"/>
      <x:c r="P15" s="205"/>
      <x:c r="Q15" s="205"/>
      <x:c r="R15" s="205"/>
      <x:c r="S15" s="205"/>
      <x:c r="T15" s="205"/>
    </x:row>
    <x:row r="16" ht="26" customHeight="1">
      <x:c r="A16" s="205" t="str">
        <x:v>Four-drive RAID0 columns sum four identical SSD published sequential rates (4 × MB/s ÷ 1000). They require 16 host PCIe lanes at the SSD generation with suitable adapters/backplane; cap results by the CPU PCIe/RAM ceiling and actual switch uplinks. No tested scaling is implied.</x:v>
      </x:c>
      <x:c r="B16" s="205"/>
      <x:c r="C16" s="205"/>
      <x:c r="D16" s="205"/>
      <x:c r="E16" s="205"/>
      <x:c r="F16" s="205"/>
      <x:c r="G16" s="205"/>
      <x:c r="H16" s="205"/>
      <x:c r="I16" s="205"/>
      <x:c r="J16" s="205"/>
      <x:c r="K16" s="205"/>
      <x:c r="L16" s="205"/>
      <x:c r="M16" s="205"/>
      <x:c r="N16" s="205"/>
      <x:c r="O16" s="205"/>
      <x:c r="P16" s="205"/>
      <x:c r="Q16" s="205"/>
      <x:c r="R16" s="205"/>
      <x:c r="S16" s="205"/>
      <x:c r="T16" s="205"/>
    </x:row>
    <x:row r="17" ht="26" customHeight="1">
      <x:c r="A17" s="205" t="str">
        <x:v>M.2 consumer writes can drop sharply after SLC cache depletion. Enterprise figures use different test conditions, so peak numbers are not directly comparable sustained-workload benchmarks. RAID0 has no redundancy.</x:v>
      </x:c>
      <x:c r="B17" s="205"/>
      <x:c r="C17" s="205"/>
      <x:c r="D17" s="205"/>
      <x:c r="E17" s="205"/>
      <x:c r="F17" s="205"/>
      <x:c r="G17" s="205"/>
      <x:c r="H17" s="205"/>
      <x:c r="I17" s="205"/>
      <x:c r="J17" s="205"/>
      <x:c r="K17" s="205"/>
      <x:c r="L17" s="205"/>
      <x:c r="M17" s="205"/>
      <x:c r="N17" s="205"/>
      <x:c r="O17" s="205"/>
      <x:c r="P17" s="205"/>
      <x:c r="Q17" s="205"/>
      <x:c r="R17" s="205"/>
      <x:c r="S17" s="205"/>
      <x:c r="T17" s="205"/>
    </x:row>
    <x:row r="18" ht="26" customHeight="1">
      <x:c r="A18" s="205" t="str">
        <x:v>Used prices apply to the linked seller/configuration and can disappear. Verify NVMe SMART, Percentage Used, media errors, power-on hours, sector size, firmware, cooling and physical connector compatibility; seller health percentages are claims, not our measurements.</x:v>
      </x:c>
      <x:c r="B18" s="205"/>
      <x:c r="C18" s="205"/>
      <x:c r="D18" s="205"/>
      <x:c r="E18" s="205"/>
      <x:c r="F18" s="205"/>
      <x:c r="G18" s="205"/>
      <x:c r="H18" s="205"/>
      <x:c r="I18" s="205"/>
      <x:c r="J18" s="205"/>
      <x:c r="K18" s="205"/>
      <x:c r="L18" s="205"/>
      <x:c r="M18" s="205"/>
      <x:c r="N18" s="205"/>
      <x:c r="O18" s="205"/>
      <x:c r="P18" s="205"/>
      <x:c r="Q18" s="205"/>
      <x:c r="R18" s="205"/>
      <x:c r="S18" s="205"/>
      <x:c r="T18" s="205"/>
    </x:row>
    <x:row r="19" ht="26" customHeight="1">
      <x:c r="A19" s="205" t="str">
        <x:v>Consumer PLP is marked not specified because no enterprise power-loss guarantee was found in the cited specs. U.2/U.3/EDSFF and SAS/SATA bays are not interchangeable without a compatible host path.</x:v>
      </x:c>
      <x:c r="B19" s="205"/>
      <x:c r="C19" s="205"/>
      <x:c r="D19" s="205"/>
      <x:c r="E19" s="205"/>
      <x:c r="F19" s="205"/>
      <x:c r="G19" s="205"/>
      <x:c r="H19" s="205"/>
      <x:c r="I19" s="205"/>
      <x:c r="J19" s="205"/>
      <x:c r="K19" s="205"/>
      <x:c r="L19" s="205"/>
      <x:c r="M19" s="205"/>
      <x:c r="N19" s="205"/>
      <x:c r="O19" s="205"/>
      <x:c r="P19" s="205"/>
      <x:c r="Q19" s="205"/>
      <x:c r="R19" s="205"/>
      <x:c r="S19" s="205"/>
      <x:c r="T19" s="205"/>
    </x:row>
  </x:sheetData>
  <x:mergeCells>
    <x:mergeCell ref="A4:T4"/>
    <x:mergeCell ref="A15:T15"/>
    <x:mergeCell ref="A16:T16"/>
    <x:mergeCell ref="A17:T17"/>
    <x:mergeCell ref="A18:T18"/>
    <x:mergeCell ref="A19:T19"/>
  </x:mergeCells>
  <x:pageMargins left="0.7" right="0.7" top="0.75" bottom="0.75" header="0.3" footer="0.3"/>
  <x:tableParts count="1">
    <x:tablePart xmlns:r="http://schemas.openxmlformats.org/officeDocument/2006/relationships" r:id="Raa543652d3dd4423"/>
  </x:tableParts>
</x:worksheet>
</file>